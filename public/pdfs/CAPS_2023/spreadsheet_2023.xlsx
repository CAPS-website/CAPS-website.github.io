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 rooms + food" sheetId="1" r:id="rId3"/>
    <sheet state="visible" name="program-2023" sheetId="2" r:id="rId4"/>
    <sheet state="visible" name="Coordination schedule" sheetId="3" r:id="rId5"/>
    <sheet state="visible" name="Results" sheetId="4" r:id="rId6"/>
    <sheet state="visible" name="Results sorted" sheetId="5" r:id="rId7"/>
    <sheet state="visible" name="Final Standings" sheetId="6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34">
      <text>
        <t xml:space="preserve">Do not require a room in the hotel</t>
      </text>
    </comment>
  </commentList>
</comments>
</file>

<file path=xl/sharedStrings.xml><?xml version="1.0" encoding="utf-8"?>
<sst xmlns="http://schemas.openxmlformats.org/spreadsheetml/2006/main" count="788" uniqueCount="226">
  <si>
    <t>room</t>
  </si>
  <si>
    <t>type</t>
  </si>
  <si>
    <t>first name</t>
  </si>
  <si>
    <t>last name</t>
  </si>
  <si>
    <t>role</t>
  </si>
  <si>
    <t>country</t>
  </si>
  <si>
    <t>gender</t>
  </si>
  <si>
    <t>food requirements</t>
  </si>
  <si>
    <t>room type</t>
  </si>
  <si>
    <t>Matej</t>
  </si>
  <si>
    <t>Bachniček</t>
  </si>
  <si>
    <t>P</t>
  </si>
  <si>
    <t>SVK</t>
  </si>
  <si>
    <t>M</t>
  </si>
  <si>
    <t>Lucia</t>
  </si>
  <si>
    <t>Chladná   </t>
  </si>
  <si>
    <t>F</t>
  </si>
  <si>
    <t xml:space="preserve">Viktor </t>
  </si>
  <si>
    <t xml:space="preserve">Imrišek    </t>
  </si>
  <si>
    <t xml:space="preserve">Martin </t>
  </si>
  <si>
    <t>Kopčány</t>
  </si>
  <si>
    <t>Rooms:</t>
  </si>
  <si>
    <t>3x4</t>
  </si>
  <si>
    <t>Jakub</t>
  </si>
  <si>
    <t>Šošovička</t>
  </si>
  <si>
    <t xml:space="preserve">Eliška </t>
  </si>
  <si>
    <t>Macáková   </t>
  </si>
  <si>
    <t>4x3</t>
  </si>
  <si>
    <t>Wojciech</t>
  </si>
  <si>
    <t>Domin</t>
  </si>
  <si>
    <t>POL</t>
  </si>
  <si>
    <t>7x2</t>
  </si>
  <si>
    <t>Robert</t>
  </si>
  <si>
    <t>Kluszczyński</t>
  </si>
  <si>
    <t>Michal</t>
  </si>
  <si>
    <t>Pecho</t>
  </si>
  <si>
    <t>L</t>
  </si>
  <si>
    <t>2x1</t>
  </si>
  <si>
    <t>Stanisław</t>
  </si>
  <si>
    <t>Lada</t>
  </si>
  <si>
    <t xml:space="preserve">Marián </t>
  </si>
  <si>
    <t>Poturnay</t>
  </si>
  <si>
    <t>Malinowski</t>
  </si>
  <si>
    <t xml:space="preserve">Štěpán </t>
  </si>
  <si>
    <t xml:space="preserve">Mikéska    </t>
  </si>
  <si>
    <t>CZE</t>
  </si>
  <si>
    <t>Miłosz</t>
  </si>
  <si>
    <t>Płatek</t>
  </si>
  <si>
    <t xml:space="preserve">Michal </t>
  </si>
  <si>
    <t xml:space="preserve">Janík          </t>
  </si>
  <si>
    <t>Patryk</t>
  </si>
  <si>
    <t>Rosół</t>
  </si>
  <si>
    <t xml:space="preserve">Jakub </t>
  </si>
  <si>
    <t xml:space="preserve">Štepo          </t>
  </si>
  <si>
    <t>Mykhailo</t>
  </si>
  <si>
    <t>Barkulov</t>
  </si>
  <si>
    <t>UKR</t>
  </si>
  <si>
    <t xml:space="preserve">Erik </t>
  </si>
  <si>
    <t xml:space="preserve">Ježek              </t>
  </si>
  <si>
    <t>Denys</t>
  </si>
  <si>
    <t>Hafych</t>
  </si>
  <si>
    <t>Tereza</t>
  </si>
  <si>
    <t>Černá</t>
  </si>
  <si>
    <t>Allergy to nuts and peanuts</t>
  </si>
  <si>
    <t>Bierbaumer</t>
  </si>
  <si>
    <t>AUT</t>
  </si>
  <si>
    <t>Vegetarian</t>
  </si>
  <si>
    <t>Samuel</t>
  </si>
  <si>
    <t>Rosiar</t>
  </si>
  <si>
    <t>David</t>
  </si>
  <si>
    <t>Buchmaier Bofill</t>
  </si>
  <si>
    <t xml:space="preserve">Radek </t>
  </si>
  <si>
    <t>Olšák</t>
  </si>
  <si>
    <t>Paul</t>
  </si>
  <si>
    <t>Hametner</t>
  </si>
  <si>
    <t>Zdeněk</t>
  </si>
  <si>
    <t>Pezlar</t>
  </si>
  <si>
    <t>Dominik</t>
  </si>
  <si>
    <t>Pultar</t>
  </si>
  <si>
    <t>Jan</t>
  </si>
  <si>
    <t>Strehn</t>
  </si>
  <si>
    <t>Georg</t>
  </si>
  <si>
    <t>Weisbier</t>
  </si>
  <si>
    <t>Pavlo</t>
  </si>
  <si>
    <t>Protsenko</t>
  </si>
  <si>
    <t>Daniil</t>
  </si>
  <si>
    <t>Shvaiko</t>
  </si>
  <si>
    <t>Sydorenko</t>
  </si>
  <si>
    <t>Konrad</t>
  </si>
  <si>
    <t>Majewski</t>
  </si>
  <si>
    <t>Radosław</t>
  </si>
  <si>
    <t>Żak</t>
  </si>
  <si>
    <t>Maryna</t>
  </si>
  <si>
    <t>Spektrova</t>
  </si>
  <si>
    <t>Nika</t>
  </si>
  <si>
    <t>Kocherha</t>
  </si>
  <si>
    <t>Nhok Tkhai Shon</t>
  </si>
  <si>
    <t>Ngo</t>
  </si>
  <si>
    <t>Moritz</t>
  </si>
  <si>
    <t>Hiebler</t>
  </si>
  <si>
    <t>Lorenz</t>
  </si>
  <si>
    <t>Hübel</t>
  </si>
  <si>
    <t xml:space="preserve"> </t>
  </si>
  <si>
    <t>June 18-21, 2023</t>
  </si>
  <si>
    <t>ISTA</t>
  </si>
  <si>
    <t>Program</t>
  </si>
  <si>
    <t>Start</t>
  </si>
  <si>
    <t>End</t>
  </si>
  <si>
    <t>Activity -- contestants</t>
  </si>
  <si>
    <t>Activity -- leaders</t>
  </si>
  <si>
    <t>Activity -- org team</t>
  </si>
  <si>
    <t>Activity -- coordinators</t>
  </si>
  <si>
    <t>Location</t>
  </si>
  <si>
    <t>Details</t>
  </si>
  <si>
    <t>Comments</t>
  </si>
  <si>
    <t>??</t>
  </si>
  <si>
    <t>Arrival at the hotel</t>
  </si>
  <si>
    <t>Hotel Anker</t>
  </si>
  <si>
    <t>Niedermarkt 5, 3400 Klosterneuburg</t>
  </si>
  <si>
    <t>Dinner (at the hotel)</t>
  </si>
  <si>
    <t>Breakfast</t>
  </si>
  <si>
    <r>
      <rPr>
        <rFont val="Arial"/>
        <color rgb="FF000000"/>
        <sz val="11.0"/>
      </rPr>
      <t>Departure to ISTA (</t>
    </r>
    <r>
      <rPr>
        <rFont val="Arial"/>
        <b/>
        <color rgb="FF000000"/>
        <sz val="11.0"/>
      </rPr>
      <t>7:57</t>
    </r>
    <r>
      <rPr>
        <rFont val="Arial"/>
        <color rgb="FF000000"/>
        <sz val="11.0"/>
      </rPr>
      <t xml:space="preserve"> bus 400 from Klosterneuburg Kierling Bahnhof)</t>
    </r>
  </si>
  <si>
    <t>meet at the hotel lobby</t>
  </si>
  <si>
    <t>prepare the room</t>
  </si>
  <si>
    <t>ISTA: Mondi 2</t>
  </si>
  <si>
    <t>30 desks, 3 folders/person, paper, flags?</t>
  </si>
  <si>
    <t>explain the rules,
start the competition</t>
  </si>
  <si>
    <t>Competition</t>
  </si>
  <si>
    <t>answer questions</t>
  </si>
  <si>
    <t>monitor the students</t>
  </si>
  <si>
    <t>Lunch</t>
  </si>
  <si>
    <t>Lunch (caffeteria) 12:15</t>
  </si>
  <si>
    <t>close the competition</t>
  </si>
  <si>
    <t>buffet</t>
  </si>
  <si>
    <t>scan the solutions</t>
  </si>
  <si>
    <t>Lunch cafeteria</t>
  </si>
  <si>
    <t>Grading + coordination</t>
  </si>
  <si>
    <t>bus 400 leaves IST every xx:14 and xx:44</t>
  </si>
  <si>
    <r>
      <rPr>
        <rFont val="Arial"/>
        <color rgb="FF000000"/>
        <sz val="11.0"/>
      </rPr>
      <t>Departure to ISTA (</t>
    </r>
    <r>
      <rPr>
        <rFont val="Arial"/>
        <b/>
        <color rgb="FF000000"/>
        <sz val="11.0"/>
      </rPr>
      <t>7:57</t>
    </r>
    <r>
      <rPr>
        <rFont val="Arial"/>
        <color rgb="FF000000"/>
        <sz val="11.0"/>
      </rPr>
      <t xml:space="preserve"> bus 400 from Klosterneuburg Kierling Bahnhof)</t>
    </r>
  </si>
  <si>
    <t>explain the rules,
answer questions</t>
  </si>
  <si>
    <t>Lunch (cafeteria) 12:15</t>
  </si>
  <si>
    <t>buffer</t>
  </si>
  <si>
    <t>Lunch terrace of cetral building
Then IST tour?
Soccer field?</t>
  </si>
  <si>
    <t>Dinner celebration</t>
  </si>
  <si>
    <t>Redlingerhütte/Chateau Kierling</t>
  </si>
  <si>
    <t>Activity</t>
  </si>
  <si>
    <t>Room</t>
  </si>
  <si>
    <t>Award Ceremony</t>
  </si>
  <si>
    <t>?? (e.g. RLH / Ballroom)</t>
  </si>
  <si>
    <t>Catering? 45 people, Think and Drink Buffet</t>
  </si>
  <si>
    <t>Talk by Tim Browning?</t>
  </si>
  <si>
    <t>Individual departure from hotel</t>
  </si>
  <si>
    <t>recommended departarture times:</t>
  </si>
  <si>
    <t>7:57 bus 400 from Klosterneuburg Kierling Bahnhof</t>
  </si>
  <si>
    <t>Reading through solutions: 14:00 -- 16:00</t>
  </si>
  <si>
    <t>Coordination: 16:20 -- 19:00</t>
  </si>
  <si>
    <t>PROBLEM 1</t>
  </si>
  <si>
    <t>PROBLEM 2</t>
  </si>
  <si>
    <t>PROBLEM 3</t>
  </si>
  <si>
    <t>DAY 1</t>
  </si>
  <si>
    <t>DAY 2</t>
  </si>
  <si>
    <t>Sum</t>
  </si>
  <si>
    <t>Problem 1</t>
  </si>
  <si>
    <t>Problem 2</t>
  </si>
  <si>
    <t>Problem 3</t>
  </si>
  <si>
    <t>Problem 4</t>
  </si>
  <si>
    <t>Problem 5</t>
  </si>
  <si>
    <t>Problem 6</t>
  </si>
  <si>
    <t>AUT-1</t>
  </si>
  <si>
    <t>AUT-2</t>
  </si>
  <si>
    <t>AUT-3</t>
  </si>
  <si>
    <t>AUT-4</t>
  </si>
  <si>
    <t>AUT-5</t>
  </si>
  <si>
    <t>AUT-6</t>
  </si>
  <si>
    <t>CZE-1</t>
  </si>
  <si>
    <t>Janík</t>
  </si>
  <si>
    <t>CZE-2</t>
  </si>
  <si>
    <t>Ježek</t>
  </si>
  <si>
    <t>CZE-3</t>
  </si>
  <si>
    <t>CZE-4</t>
  </si>
  <si>
    <t>CZE-5</t>
  </si>
  <si>
    <t>Štepo</t>
  </si>
  <si>
    <t>CZE-6</t>
  </si>
  <si>
    <t>POL-1</t>
  </si>
  <si>
    <t>POL-2</t>
  </si>
  <si>
    <t>POL-3</t>
  </si>
  <si>
    <t>POL-4</t>
  </si>
  <si>
    <t>POL-5</t>
  </si>
  <si>
    <t>POL-6</t>
  </si>
  <si>
    <t>SVK-1</t>
  </si>
  <si>
    <t>SVK-2</t>
  </si>
  <si>
    <t>SVK-3</t>
  </si>
  <si>
    <t>SVK-4</t>
  </si>
  <si>
    <t>Macáková</t>
  </si>
  <si>
    <t>SVK-5</t>
  </si>
  <si>
    <t>SVK-6</t>
  </si>
  <si>
    <t>UKR-1</t>
  </si>
  <si>
    <t>UKR-2</t>
  </si>
  <si>
    <t>UKR-3</t>
  </si>
  <si>
    <t>UKR-4</t>
  </si>
  <si>
    <t>UKR-5</t>
  </si>
  <si>
    <t>UKR-6</t>
  </si>
  <si>
    <t>SUM</t>
  </si>
  <si>
    <t>medal</t>
  </si>
  <si>
    <t>G</t>
  </si>
  <si>
    <t>AUT:</t>
  </si>
  <si>
    <t>CZE:</t>
  </si>
  <si>
    <t>POL:</t>
  </si>
  <si>
    <t>S</t>
  </si>
  <si>
    <t>SVK:</t>
  </si>
  <si>
    <t>UKR:</t>
  </si>
  <si>
    <t>B</t>
  </si>
  <si>
    <t>HM</t>
  </si>
  <si>
    <t>Czech-Austrian-Polish-Slovak Match (CAPS)</t>
  </si>
  <si>
    <t>With Ukraine as a guest country</t>
  </si>
  <si>
    <t>Institute of Science and Technology Austria, June 2023</t>
  </si>
  <si>
    <t>Rank</t>
  </si>
  <si>
    <t>Name</t>
  </si>
  <si>
    <t>Country</t>
  </si>
  <si>
    <t>P1</t>
  </si>
  <si>
    <t>P2</t>
  </si>
  <si>
    <t>P3</t>
  </si>
  <si>
    <t>P4</t>
  </si>
  <si>
    <t>P5</t>
  </si>
  <si>
    <t>P6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</si>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</sst>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d, mmm d"/>
    <numFmt numFmtId="165" formatCode="hh:mm"/>
    <numFmt numFmtId="166" formatCode="dddd, mmmm d"/>
  </numFmts>
  <fonts count="18">
    <font>
      <sz val="10.0"/>
      <color rgb="FF000000"/>
      <name val="Arial"/>
    </font>
    <font/>
    <font>
      <b/>
      <sz val="24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b/>
      <sz val="11.0"/>
      <name val="Arial"/>
    </font>
    <font>
      <sz val="11.0"/>
      <color rgb="FF222222"/>
      <name val="Arial"/>
    </font>
    <font>
      <sz val="11.0"/>
      <color rgb="FFFF0000"/>
      <name val="Arial"/>
    </font>
    <font>
      <sz val="11.0"/>
      <name val="Arial"/>
    </font>
    <font>
      <sz val="10.0"/>
      <name val="Arial"/>
    </font>
    <font>
      <sz val="24.0"/>
      <color rgb="FF000000"/>
      <name val="Calibri"/>
    </font>
    <font>
      <name val="Calibri"/>
    </font>
    <font>
      <sz val="14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2.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0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shrinkToFit="0" wrapText="0"/>
    </xf>
    <xf borderId="2" fillId="0" fontId="8" numFmtId="20" xfId="0" applyAlignment="1" applyBorder="1" applyFont="1" applyNumberFormat="1">
      <alignment horizontal="right" readingOrder="0" shrinkToFit="0" wrapText="1"/>
    </xf>
    <xf borderId="3" fillId="0" fontId="8" numFmtId="0" xfId="0" applyAlignment="1" applyBorder="1" applyFont="1">
      <alignment horizontal="right" readingOrder="0" shrinkToFit="0" wrapText="1"/>
    </xf>
    <xf borderId="3" fillId="0" fontId="3" numFmtId="0" xfId="0" applyAlignment="1" applyBorder="1" applyFont="1">
      <alignment horizontal="center" readingOrder="0" shrinkToFit="0" wrapText="1"/>
    </xf>
    <xf borderId="4" fillId="0" fontId="1" numFmtId="0" xfId="0" applyBorder="1" applyFont="1"/>
    <xf borderId="4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horizontal="center" readingOrder="0" shrinkToFit="0" wrapText="1"/>
    </xf>
    <xf borderId="6" fillId="0" fontId="1" numFmtId="0" xfId="0" applyBorder="1" applyFont="1"/>
    <xf borderId="2" fillId="0" fontId="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horizontal="center" readingOrder="0" shrinkToFit="0" vertical="center" wrapText="1"/>
    </xf>
    <xf borderId="4" fillId="0" fontId="10" numFmtId="20" xfId="0" applyAlignment="1" applyBorder="1" applyFont="1" applyNumberFormat="1">
      <alignment horizontal="center" readingOrder="0" vertical="center"/>
    </xf>
    <xf borderId="7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2" fillId="0" fontId="3" numFmtId="165" xfId="0" applyAlignment="1" applyBorder="1" applyFont="1" applyNumberFormat="1">
      <alignment horizontal="center" readingOrder="0" shrinkToFit="0" vertical="center" wrapText="1"/>
    </xf>
    <xf borderId="4" fillId="0" fontId="10" numFmtId="20" xfId="0" applyAlignment="1" applyBorder="1" applyFont="1" applyNumberFormat="1">
      <alignment horizontal="center" vertical="center"/>
    </xf>
    <xf borderId="2" fillId="0" fontId="3" numFmtId="20" xfId="0" applyAlignment="1" applyBorder="1" applyFont="1" applyNumberFormat="1">
      <alignment horizontal="center" shrinkToFit="0" vertical="center" wrapText="1"/>
    </xf>
    <xf borderId="4" fillId="0" fontId="3" numFmtId="20" xfId="0" applyAlignment="1" applyBorder="1" applyFont="1" applyNumberFormat="1">
      <alignment horizontal="center" readingOrder="0" shrinkToFit="0" vertical="center" wrapText="1"/>
    </xf>
    <xf borderId="2" fillId="0" fontId="3" numFmtId="20" xfId="0" applyAlignment="1" applyBorder="1" applyFont="1" applyNumberForma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10" fillId="0" fontId="1" numFmtId="0" xfId="0" applyBorder="1" applyFont="1"/>
    <xf borderId="3" fillId="0" fontId="3" numFmtId="0" xfId="0" applyAlignment="1" applyBorder="1" applyFont="1">
      <alignment horizontal="center" readingOrder="0" shrinkToFit="0" vertical="center" wrapText="1"/>
    </xf>
    <xf borderId="5" fillId="0" fontId="1" numFmtId="0" xfId="0" applyBorder="1" applyFont="1"/>
    <xf borderId="8" fillId="2" fontId="3" numFmtId="0" xfId="0" applyAlignment="1" applyBorder="1" applyFill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shrinkToFit="0" wrapText="1"/>
    </xf>
    <xf borderId="11" fillId="0" fontId="1" numFmtId="0" xfId="0" applyBorder="1" applyFont="1"/>
    <xf borderId="2" fillId="0" fontId="3" numFmtId="20" xfId="0" applyAlignment="1" applyBorder="1" applyFont="1" applyNumberForma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7" fillId="0" fontId="1" numFmtId="0" xfId="0" applyBorder="1" applyFont="1"/>
    <xf borderId="5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2" fillId="0" fontId="9" numFmtId="20" xfId="0" applyAlignment="1" applyBorder="1" applyFont="1" applyNumberFormat="1">
      <alignment horizontal="center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0" fillId="0" fontId="6" numFmtId="166" xfId="0" applyAlignment="1" applyFont="1" applyNumberFormat="1">
      <alignment readingOrder="0" shrinkToFit="0" wrapText="1"/>
    </xf>
    <xf borderId="2" fillId="0" fontId="3" numFmtId="20" xfId="0" applyAlignment="1" applyBorder="1" applyFont="1" applyNumberFormat="1">
      <alignment horizontal="right" readingOrder="0" shrinkToFit="0" wrapText="1"/>
    </xf>
    <xf borderId="0" fillId="0" fontId="10" numFmtId="0" xfId="0" applyAlignment="1" applyFont="1">
      <alignment shrinkToFit="0" wrapText="1"/>
    </xf>
    <xf borderId="0" fillId="3" fontId="3" numFmtId="0" xfId="0" applyAlignment="1" applyFill="1" applyFont="1">
      <alignment readingOrder="0" shrinkToFit="0" wrapText="0"/>
    </xf>
    <xf borderId="0" fillId="0" fontId="11" numFmtId="0" xfId="0" applyAlignment="1" applyFont="1">
      <alignment shrinkToFit="0" wrapText="1"/>
    </xf>
    <xf borderId="9" fillId="0" fontId="6" numFmtId="164" xfId="0" applyAlignment="1" applyBorder="1" applyFont="1" applyNumberFormat="1">
      <alignment readingOrder="0" shrinkToFit="0" wrapText="1"/>
    </xf>
    <xf borderId="12" fillId="0" fontId="1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2" fillId="0" fontId="1" numFmtId="20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0" fillId="0" fontId="1" numFmtId="20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2" fontId="1" numFmtId="0" xfId="0" applyFont="1"/>
    <xf borderId="0" fillId="4" fontId="1" numFmtId="0" xfId="0" applyFont="1"/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Font="1"/>
    <xf borderId="0" fillId="7" fontId="1" numFmtId="0" xfId="0" applyFont="1"/>
    <xf borderId="0" fillId="8" fontId="1" numFmtId="0" xfId="0" applyFont="1"/>
    <xf borderId="0" fillId="2" fontId="0" numFmtId="0" xfId="0" applyAlignment="1" applyFont="1">
      <alignment horizontal="right"/>
    </xf>
    <xf borderId="0" fillId="0" fontId="12" numFmtId="0" xfId="0" applyAlignment="1" applyFont="1">
      <alignment horizontal="center" readingOrder="0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 readingOrder="0" vertical="bottom"/>
    </xf>
    <xf borderId="0" fillId="0" fontId="13" numFmtId="0" xfId="0" applyAlignment="1" applyFont="1">
      <alignment vertical="bottom"/>
    </xf>
    <xf borderId="1" fillId="0" fontId="15" numFmtId="0" xfId="0" applyAlignment="1" applyBorder="1" applyFont="1">
      <alignment vertical="bottom"/>
    </xf>
    <xf borderId="14" fillId="0" fontId="15" numFmtId="0" xfId="0" applyAlignment="1" applyBorder="1" applyFont="1">
      <alignment horizontal="center" vertical="bottom"/>
    </xf>
    <xf borderId="15" fillId="0" fontId="1" numFmtId="0" xfId="0" applyBorder="1" applyFont="1"/>
    <xf borderId="0" fillId="0" fontId="15" numFmtId="0" xfId="0" applyAlignment="1" applyFont="1">
      <alignment horizontal="center" vertical="bottom"/>
    </xf>
    <xf borderId="14" fillId="0" fontId="15" numFmtId="0" xfId="0" applyAlignment="1" applyBorder="1" applyFont="1">
      <alignment horizontal="center" vertical="bottom"/>
    </xf>
    <xf borderId="0" fillId="0" fontId="15" numFmtId="0" xfId="0" applyAlignment="1" applyFont="1">
      <alignment horizontal="center" vertical="bottom"/>
    </xf>
    <xf borderId="15" fillId="0" fontId="15" numFmtId="0" xfId="0" applyAlignment="1" applyBorder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13" fillId="0" fontId="16" numFmtId="0" xfId="0" applyAlignment="1" applyBorder="1" applyFont="1">
      <alignment horizontal="right" vertical="bottom"/>
    </xf>
    <xf borderId="12" fillId="0" fontId="15" numFmtId="0" xfId="0" applyAlignment="1" applyBorder="1" applyFont="1">
      <alignment horizontal="center" vertical="bottom"/>
    </xf>
    <xf borderId="13" fillId="0" fontId="15" numFmtId="0" xfId="0" applyAlignment="1" applyBorder="1" applyFont="1">
      <alignment horizontal="center" vertical="bottom"/>
    </xf>
    <xf borderId="9" fillId="0" fontId="15" numFmtId="0" xfId="0" applyAlignment="1" applyBorder="1" applyFont="1">
      <alignment horizontal="center" vertical="bottom"/>
    </xf>
    <xf borderId="12" fillId="0" fontId="15" numFmtId="0" xfId="0" applyAlignment="1" applyBorder="1" applyFont="1">
      <alignment horizontal="center" vertical="bottom"/>
    </xf>
    <xf borderId="13" fillId="0" fontId="15" numFmtId="0" xfId="0" applyAlignment="1" applyBorder="1" applyFont="1">
      <alignment horizontal="center" vertical="bottom"/>
    </xf>
    <xf borderId="12" fillId="0" fontId="16" numFmtId="0" xfId="0" applyAlignment="1" applyBorder="1" applyFont="1">
      <alignment horizontal="center" vertical="bottom"/>
    </xf>
    <xf borderId="12" fillId="10" fontId="17" numFmtId="0" xfId="0" applyAlignment="1" applyBorder="1" applyFill="1" applyFont="1">
      <alignment horizontal="center" vertical="bottom"/>
    </xf>
    <xf borderId="15" fillId="0" fontId="16" numFmtId="0" xfId="0" applyAlignment="1" applyBorder="1" applyFont="1">
      <alignment horizontal="right" vertical="bottom"/>
    </xf>
    <xf borderId="15" fillId="0" fontId="15" numFmtId="0" xfId="0" applyAlignment="1" applyBorder="1" applyFont="1">
      <alignment horizontal="center" vertical="bottom"/>
    </xf>
    <xf borderId="0" fillId="10" fontId="17" numFmtId="0" xfId="0" applyAlignment="1" applyFont="1">
      <alignment horizontal="center" vertical="bottom"/>
    </xf>
    <xf borderId="6" fillId="0" fontId="16" numFmtId="0" xfId="0" applyAlignment="1" applyBorder="1" applyFont="1">
      <alignment horizontal="right" vertical="bottom"/>
    </xf>
    <xf borderId="1" fillId="0" fontId="15" numFmtId="0" xfId="0" applyAlignment="1" applyBorder="1" applyFont="1">
      <alignment horizontal="center" vertical="bottom"/>
    </xf>
    <xf borderId="6" fillId="0" fontId="1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6" fillId="0" fontId="15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vertical="bottom"/>
    </xf>
    <xf borderId="1" fillId="10" fontId="17" numFmtId="0" xfId="0" applyAlignment="1" applyBorder="1" applyFont="1">
      <alignment horizontal="center" vertical="bottom"/>
    </xf>
    <xf borderId="10" fillId="0" fontId="15" numFmtId="0" xfId="0" applyAlignment="1" applyBorder="1" applyFont="1">
      <alignment horizontal="center" vertical="bottom"/>
    </xf>
    <xf borderId="14" fillId="0" fontId="16" numFmtId="0" xfId="0" applyAlignment="1" applyBorder="1" applyFont="1">
      <alignment horizontal="center" vertical="bottom"/>
    </xf>
    <xf borderId="0" fillId="11" fontId="17" numFmtId="0" xfId="0" applyAlignment="1" applyFill="1" applyFont="1">
      <alignment horizontal="center" vertical="bottom"/>
    </xf>
    <xf borderId="11" fillId="0" fontId="15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vertical="bottom"/>
    </xf>
    <xf borderId="1" fillId="11" fontId="17" numFmtId="0" xfId="0" applyAlignment="1" applyBorder="1" applyFont="1">
      <alignment horizontal="center" vertical="bottom"/>
    </xf>
    <xf borderId="8" fillId="0" fontId="15" numFmtId="0" xfId="0" applyAlignment="1" applyBorder="1" applyFont="1">
      <alignment horizontal="center" vertical="bottom"/>
    </xf>
    <xf borderId="9" fillId="0" fontId="16" numFmtId="0" xfId="0" applyAlignment="1" applyBorder="1" applyFont="1">
      <alignment horizontal="center" vertical="bottom"/>
    </xf>
    <xf borderId="12" fillId="11" fontId="17" numFmtId="0" xfId="0" applyAlignment="1" applyBorder="1" applyFont="1">
      <alignment horizontal="center" vertical="bottom"/>
    </xf>
    <xf borderId="0" fillId="12" fontId="17" numFmtId="0" xfId="0" applyAlignment="1" applyFill="1" applyFont="1">
      <alignment horizontal="center" vertical="bottom"/>
    </xf>
    <xf borderId="1" fillId="12" fontId="17" numFmtId="0" xfId="0" applyAlignment="1" applyBorder="1" applyFont="1">
      <alignment horizontal="center" vertical="bottom"/>
    </xf>
    <xf borderId="12" fillId="12" fontId="17" numFmtId="0" xfId="0" applyAlignment="1" applyBorder="1" applyFont="1">
      <alignment horizontal="center" vertical="bottom"/>
    </xf>
    <xf borderId="0" fillId="13" fontId="17" numFmtId="0" xfId="0" applyAlignment="1" applyFill="1" applyFont="1">
      <alignment horizontal="center" vertical="bottom"/>
    </xf>
    <xf borderId="0" fillId="0" fontId="13" numFmtId="0" xfId="0" applyAlignment="1" applyFont="1">
      <alignment readingOrder="0" vertical="bottom"/>
    </xf>
    <xf borderId="15" fillId="0" fontId="15" numFmtId="0" xfId="0" applyAlignment="1" applyBorder="1" applyFont="1">
      <alignment horizontal="center" readingOrder="0" vertical="bottom"/>
    </xf>
    <xf borderId="0" fillId="0" fontId="17" numFmtId="0" xfId="0" applyAlignment="1" applyFont="1">
      <alignment horizontal="center" vertical="bottom"/>
    </xf>
    <xf borderId="15" fillId="0" fontId="17" numFmtId="0" xfId="0" applyAlignment="1" applyBorder="1" applyFont="1">
      <alignment horizontal="center" vertical="bottom"/>
    </xf>
    <xf borderId="10" fillId="0" fontId="17" numFmtId="0" xfId="0" applyAlignment="1" applyBorder="1" applyFont="1">
      <alignment horizontal="center" vertical="bottom"/>
    </xf>
    <xf borderId="14" fillId="0" fontId="17" numFmtId="0" xfId="0" applyAlignment="1" applyBorder="1" applyFont="1">
      <alignment horizontal="center" vertical="bottom"/>
    </xf>
    <xf borderId="15" fillId="0" fontId="17" numFmtId="0" xfId="0" applyAlignment="1" applyBorder="1" applyFont="1">
      <alignment horizontal="center" vertical="bottom"/>
    </xf>
    <xf borderId="10" fillId="0" fontId="17" numFmtId="0" xfId="0" applyAlignment="1" applyBorder="1" applyFont="1">
      <alignment horizontal="center" vertical="bottom"/>
    </xf>
    <xf borderId="0" fillId="0" fontId="16" numFmtId="0" xfId="0" applyAlignment="1" applyFont="1">
      <alignment horizontal="right" vertical="bottom"/>
    </xf>
  </cellXfs>
  <cellStyles count="1">
    <cellStyle xfId="0" name="Normal" builtinId="0"/>
  </cellStyles>
  <dxfs count="6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3" max="3" width="4.13"/>
    <col customWidth="1" min="4" max="4" width="8.38"/>
    <col customWidth="1" min="5" max="5" width="12.88"/>
    <col customWidth="1" min="6" max="6" width="4.25"/>
    <col customWidth="1" min="7" max="7" width="6.5"/>
    <col customWidth="1" min="8" max="8" width="5.0"/>
    <col customWidth="1" min="9" max="9" width="11.13"/>
    <col customWidth="1" min="26" max="26" width="21.25"/>
  </cols>
  <sheetData>
    <row r="1">
      <c r="A1" s="1"/>
    </row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M2" s="2" t="s">
        <v>8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S2" s="2" t="s">
        <v>7</v>
      </c>
      <c r="U2" s="3"/>
      <c r="V2" s="3"/>
      <c r="W2" s="3"/>
      <c r="X2" s="3"/>
      <c r="Y2" s="3"/>
      <c r="Z2" s="3"/>
    </row>
    <row r="3">
      <c r="B3" s="4" t="b">
        <v>1</v>
      </c>
      <c r="C3" s="4"/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/>
      <c r="M3" s="3">
        <v>4.0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</row>
    <row r="4">
      <c r="B4" s="4" t="b">
        <v>1</v>
      </c>
      <c r="C4" s="4"/>
      <c r="D4" s="5" t="s">
        <v>14</v>
      </c>
      <c r="E4" s="5" t="s">
        <v>15</v>
      </c>
      <c r="F4" s="3" t="s">
        <v>11</v>
      </c>
      <c r="G4" s="3" t="s">
        <v>12</v>
      </c>
      <c r="H4" s="3" t="s">
        <v>16</v>
      </c>
      <c r="M4" s="3">
        <v>4.0</v>
      </c>
      <c r="N4" s="5" t="s">
        <v>17</v>
      </c>
      <c r="O4" s="5" t="s">
        <v>18</v>
      </c>
      <c r="P4" s="3" t="s">
        <v>11</v>
      </c>
      <c r="Q4" s="3" t="s">
        <v>12</v>
      </c>
      <c r="R4" s="3" t="s">
        <v>13</v>
      </c>
    </row>
    <row r="5">
      <c r="B5" s="4" t="b">
        <v>1</v>
      </c>
      <c r="C5" s="4"/>
      <c r="D5" s="5" t="s">
        <v>17</v>
      </c>
      <c r="E5" s="5" t="s">
        <v>18</v>
      </c>
      <c r="F5" s="3" t="s">
        <v>11</v>
      </c>
      <c r="G5" s="3" t="s">
        <v>12</v>
      </c>
      <c r="H5" s="3" t="s">
        <v>13</v>
      </c>
      <c r="M5" s="3">
        <v>4.0</v>
      </c>
      <c r="N5" s="5" t="s">
        <v>19</v>
      </c>
      <c r="O5" s="5" t="s">
        <v>20</v>
      </c>
      <c r="P5" s="3" t="s">
        <v>11</v>
      </c>
      <c r="Q5" s="3" t="s">
        <v>12</v>
      </c>
      <c r="R5" s="3" t="s">
        <v>13</v>
      </c>
    </row>
    <row r="6">
      <c r="B6" s="4" t="b">
        <v>1</v>
      </c>
      <c r="C6" s="4"/>
      <c r="D6" s="5" t="s">
        <v>19</v>
      </c>
      <c r="E6" s="5" t="s">
        <v>20</v>
      </c>
      <c r="F6" s="3" t="s">
        <v>11</v>
      </c>
      <c r="G6" s="3" t="s">
        <v>12</v>
      </c>
      <c r="H6" s="3" t="s">
        <v>13</v>
      </c>
      <c r="I6" s="3"/>
      <c r="J6" s="3" t="s">
        <v>21</v>
      </c>
      <c r="K6" s="3" t="s">
        <v>22</v>
      </c>
      <c r="M6" s="2">
        <v>4.0</v>
      </c>
      <c r="N6" s="6" t="s">
        <v>23</v>
      </c>
      <c r="O6" s="6" t="s">
        <v>24</v>
      </c>
      <c r="P6" s="2" t="s">
        <v>11</v>
      </c>
      <c r="Q6" s="2" t="s">
        <v>12</v>
      </c>
      <c r="R6" s="2" t="s">
        <v>13</v>
      </c>
      <c r="S6" s="7"/>
      <c r="U6" s="3"/>
      <c r="V6" s="5"/>
      <c r="W6" s="5"/>
      <c r="X6" s="3"/>
      <c r="Y6" s="3"/>
    </row>
    <row r="7">
      <c r="B7" s="4" t="b">
        <v>1</v>
      </c>
      <c r="C7" s="4"/>
      <c r="D7" s="3" t="s">
        <v>25</v>
      </c>
      <c r="E7" s="3" t="s">
        <v>26</v>
      </c>
      <c r="F7" s="3" t="s">
        <v>11</v>
      </c>
      <c r="G7" s="3" t="s">
        <v>12</v>
      </c>
      <c r="H7" s="3" t="s">
        <v>16</v>
      </c>
      <c r="I7" s="3"/>
      <c r="K7" s="3" t="s">
        <v>27</v>
      </c>
      <c r="M7" s="3">
        <v>4.0</v>
      </c>
      <c r="N7" s="3" t="s">
        <v>28</v>
      </c>
      <c r="O7" s="3" t="s">
        <v>29</v>
      </c>
      <c r="P7" s="3" t="s">
        <v>11</v>
      </c>
      <c r="Q7" s="3" t="s">
        <v>30</v>
      </c>
      <c r="R7" s="3" t="s">
        <v>13</v>
      </c>
    </row>
    <row r="8">
      <c r="B8" s="4" t="b">
        <v>1</v>
      </c>
      <c r="C8" s="4"/>
      <c r="D8" s="5" t="s">
        <v>23</v>
      </c>
      <c r="E8" s="5" t="s">
        <v>24</v>
      </c>
      <c r="F8" s="3" t="s">
        <v>11</v>
      </c>
      <c r="G8" s="3" t="s">
        <v>12</v>
      </c>
      <c r="H8" s="3" t="s">
        <v>13</v>
      </c>
      <c r="K8" s="3" t="s">
        <v>31</v>
      </c>
      <c r="M8" s="3">
        <v>4.0</v>
      </c>
      <c r="N8" s="3" t="s">
        <v>32</v>
      </c>
      <c r="O8" s="3" t="s">
        <v>33</v>
      </c>
      <c r="P8" s="3" t="s">
        <v>11</v>
      </c>
      <c r="Q8" s="3" t="s">
        <v>30</v>
      </c>
      <c r="R8" s="3" t="s">
        <v>13</v>
      </c>
    </row>
    <row r="9">
      <c r="B9" s="4" t="b">
        <v>1</v>
      </c>
      <c r="C9" s="4"/>
      <c r="D9" s="3" t="s">
        <v>34</v>
      </c>
      <c r="E9" s="3" t="s">
        <v>35</v>
      </c>
      <c r="F9" s="3" t="s">
        <v>36</v>
      </c>
      <c r="G9" s="3" t="s">
        <v>12</v>
      </c>
      <c r="H9" s="3" t="s">
        <v>13</v>
      </c>
      <c r="K9" s="3" t="s">
        <v>37</v>
      </c>
      <c r="M9" s="3">
        <v>4.0</v>
      </c>
      <c r="N9" s="3" t="s">
        <v>38</v>
      </c>
      <c r="O9" s="3" t="s">
        <v>39</v>
      </c>
      <c r="P9" s="3" t="s">
        <v>11</v>
      </c>
      <c r="Q9" s="3" t="s">
        <v>30</v>
      </c>
      <c r="R9" s="3" t="s">
        <v>13</v>
      </c>
    </row>
    <row r="10">
      <c r="B10" s="4" t="b">
        <v>1</v>
      </c>
      <c r="C10" s="4"/>
      <c r="D10" s="3" t="s">
        <v>40</v>
      </c>
      <c r="E10" s="3" t="s">
        <v>41</v>
      </c>
      <c r="F10" s="3" t="s">
        <v>36</v>
      </c>
      <c r="G10" s="3" t="s">
        <v>12</v>
      </c>
      <c r="H10" s="3" t="s">
        <v>13</v>
      </c>
      <c r="K10" s="3"/>
      <c r="M10" s="2">
        <v>4.0</v>
      </c>
      <c r="N10" s="2" t="s">
        <v>28</v>
      </c>
      <c r="O10" s="2" t="s">
        <v>42</v>
      </c>
      <c r="P10" s="2" t="s">
        <v>11</v>
      </c>
      <c r="Q10" s="2" t="s">
        <v>30</v>
      </c>
      <c r="R10" s="2" t="s">
        <v>13</v>
      </c>
      <c r="S10" s="7"/>
      <c r="U10" s="3"/>
      <c r="V10" s="3"/>
      <c r="W10" s="3"/>
      <c r="X10" s="3"/>
      <c r="Y10" s="3"/>
    </row>
    <row r="11">
      <c r="B11" s="4" t="b">
        <v>1</v>
      </c>
      <c r="C11" s="4"/>
      <c r="D11" s="3" t="s">
        <v>43</v>
      </c>
      <c r="E11" s="3" t="s">
        <v>44</v>
      </c>
      <c r="F11" s="3" t="s">
        <v>11</v>
      </c>
      <c r="G11" s="3" t="s">
        <v>45</v>
      </c>
      <c r="H11" s="3" t="s">
        <v>13</v>
      </c>
      <c r="M11" s="3">
        <v>4.0</v>
      </c>
      <c r="N11" s="3" t="s">
        <v>46</v>
      </c>
      <c r="O11" s="3" t="s">
        <v>47</v>
      </c>
      <c r="P11" s="3" t="s">
        <v>11</v>
      </c>
      <c r="Q11" s="3" t="s">
        <v>30</v>
      </c>
      <c r="R11" s="3" t="s">
        <v>13</v>
      </c>
    </row>
    <row r="12">
      <c r="B12" s="4" t="b">
        <v>1</v>
      </c>
      <c r="C12" s="4"/>
      <c r="D12" s="3" t="s">
        <v>48</v>
      </c>
      <c r="E12" s="3" t="s">
        <v>49</v>
      </c>
      <c r="F12" s="3" t="s">
        <v>11</v>
      </c>
      <c r="G12" s="3" t="s">
        <v>45</v>
      </c>
      <c r="H12" s="3" t="s">
        <v>13</v>
      </c>
      <c r="I12" s="3"/>
      <c r="M12" s="3">
        <v>4.0</v>
      </c>
      <c r="N12" s="3" t="s">
        <v>50</v>
      </c>
      <c r="O12" s="3" t="s">
        <v>51</v>
      </c>
      <c r="P12" s="3" t="s">
        <v>11</v>
      </c>
      <c r="Q12" s="3" t="s">
        <v>30</v>
      </c>
      <c r="R12" s="3" t="s">
        <v>13</v>
      </c>
    </row>
    <row r="13">
      <c r="B13" s="4" t="b">
        <v>1</v>
      </c>
      <c r="C13" s="4"/>
      <c r="D13" s="3" t="s">
        <v>52</v>
      </c>
      <c r="E13" s="3" t="s">
        <v>53</v>
      </c>
      <c r="F13" s="3" t="s">
        <v>11</v>
      </c>
      <c r="G13" s="3" t="s">
        <v>45</v>
      </c>
      <c r="H13" s="3" t="s">
        <v>13</v>
      </c>
      <c r="M13" s="3">
        <v>4.0</v>
      </c>
      <c r="N13" s="3" t="s">
        <v>54</v>
      </c>
      <c r="O13" s="3" t="s">
        <v>55</v>
      </c>
      <c r="P13" s="3" t="s">
        <v>11</v>
      </c>
      <c r="Q13" s="3" t="s">
        <v>56</v>
      </c>
      <c r="R13" s="3" t="s">
        <v>13</v>
      </c>
    </row>
    <row r="14">
      <c r="B14" s="4" t="b">
        <v>1</v>
      </c>
      <c r="C14" s="4"/>
      <c r="D14" s="3" t="s">
        <v>57</v>
      </c>
      <c r="E14" s="3" t="s">
        <v>58</v>
      </c>
      <c r="F14" s="3" t="s">
        <v>11</v>
      </c>
      <c r="G14" s="3" t="s">
        <v>45</v>
      </c>
      <c r="H14" s="3" t="s">
        <v>13</v>
      </c>
      <c r="M14" s="2">
        <v>4.0</v>
      </c>
      <c r="N14" s="2" t="s">
        <v>59</v>
      </c>
      <c r="O14" s="2" t="s">
        <v>60</v>
      </c>
      <c r="P14" s="2" t="s">
        <v>11</v>
      </c>
      <c r="Q14" s="2" t="s">
        <v>56</v>
      </c>
      <c r="R14" s="2" t="s">
        <v>13</v>
      </c>
      <c r="S14" s="7"/>
      <c r="U14" s="3"/>
      <c r="V14" s="3"/>
      <c r="W14" s="3"/>
      <c r="X14" s="3"/>
      <c r="Y14" s="3"/>
    </row>
    <row r="15">
      <c r="B15" s="4" t="b">
        <v>1</v>
      </c>
      <c r="C15" s="4"/>
      <c r="D15" s="3" t="s">
        <v>61</v>
      </c>
      <c r="E15" s="3" t="s">
        <v>62</v>
      </c>
      <c r="F15" s="3" t="s">
        <v>11</v>
      </c>
      <c r="G15" s="3" t="s">
        <v>45</v>
      </c>
      <c r="H15" s="3" t="s">
        <v>16</v>
      </c>
      <c r="I15" s="3" t="s">
        <v>63</v>
      </c>
      <c r="M15" s="3">
        <v>3.0</v>
      </c>
      <c r="N15" s="3" t="s">
        <v>19</v>
      </c>
      <c r="O15" s="3" t="s">
        <v>64</v>
      </c>
      <c r="P15" s="3" t="s">
        <v>11</v>
      </c>
      <c r="Q15" s="3" t="s">
        <v>65</v>
      </c>
      <c r="R15" s="3" t="s">
        <v>13</v>
      </c>
      <c r="S15" s="3" t="s">
        <v>66</v>
      </c>
    </row>
    <row r="16">
      <c r="B16" s="4" t="b">
        <v>1</v>
      </c>
      <c r="C16" s="4"/>
      <c r="D16" s="3" t="s">
        <v>67</v>
      </c>
      <c r="E16" s="3" t="s">
        <v>68</v>
      </c>
      <c r="F16" s="3" t="s">
        <v>11</v>
      </c>
      <c r="G16" s="3" t="s">
        <v>45</v>
      </c>
      <c r="H16" s="3" t="s">
        <v>13</v>
      </c>
      <c r="I16" s="3"/>
      <c r="M16" s="3">
        <v>3.0</v>
      </c>
      <c r="N16" s="3" t="s">
        <v>69</v>
      </c>
      <c r="O16" s="3" t="s">
        <v>70</v>
      </c>
      <c r="P16" s="3" t="s">
        <v>11</v>
      </c>
      <c r="Q16" s="3" t="s">
        <v>65</v>
      </c>
      <c r="R16" s="3" t="s">
        <v>13</v>
      </c>
      <c r="S16" s="3"/>
    </row>
    <row r="17">
      <c r="B17" s="4" t="b">
        <v>1</v>
      </c>
      <c r="C17" s="4"/>
      <c r="D17" s="3" t="s">
        <v>71</v>
      </c>
      <c r="E17" s="3" t="s">
        <v>72</v>
      </c>
      <c r="F17" s="3" t="s">
        <v>36</v>
      </c>
      <c r="G17" s="3" t="s">
        <v>45</v>
      </c>
      <c r="H17" s="8" t="s">
        <v>13</v>
      </c>
      <c r="I17" s="8"/>
      <c r="M17" s="2">
        <v>3.0</v>
      </c>
      <c r="N17" s="2" t="s">
        <v>73</v>
      </c>
      <c r="O17" s="2" t="s">
        <v>74</v>
      </c>
      <c r="P17" s="2" t="s">
        <v>11</v>
      </c>
      <c r="Q17" s="2" t="s">
        <v>65</v>
      </c>
      <c r="R17" s="2" t="s">
        <v>13</v>
      </c>
      <c r="S17" s="2" t="s">
        <v>66</v>
      </c>
      <c r="U17" s="3"/>
      <c r="V17" s="3"/>
      <c r="W17" s="3"/>
      <c r="X17" s="3"/>
      <c r="Y17" s="3"/>
      <c r="Z17" s="3"/>
    </row>
    <row r="18">
      <c r="B18" s="4" t="b">
        <v>1</v>
      </c>
      <c r="C18" s="4"/>
      <c r="D18" s="3" t="s">
        <v>75</v>
      </c>
      <c r="E18" s="3" t="s">
        <v>76</v>
      </c>
      <c r="F18" s="3" t="s">
        <v>36</v>
      </c>
      <c r="G18" s="3" t="s">
        <v>45</v>
      </c>
      <c r="H18" s="3" t="s">
        <v>13</v>
      </c>
      <c r="I18" s="3"/>
      <c r="M18" s="3">
        <v>3.0</v>
      </c>
      <c r="N18" s="3" t="s">
        <v>77</v>
      </c>
      <c r="O18" s="3" t="s">
        <v>78</v>
      </c>
      <c r="P18" s="3" t="s">
        <v>11</v>
      </c>
      <c r="Q18" s="3" t="s">
        <v>65</v>
      </c>
      <c r="R18" s="3" t="s">
        <v>13</v>
      </c>
    </row>
    <row r="19">
      <c r="B19" s="4" t="b">
        <v>1</v>
      </c>
      <c r="C19" s="4"/>
      <c r="D19" s="3" t="s">
        <v>28</v>
      </c>
      <c r="E19" s="3" t="s">
        <v>29</v>
      </c>
      <c r="F19" s="3" t="s">
        <v>11</v>
      </c>
      <c r="G19" s="3" t="s">
        <v>30</v>
      </c>
      <c r="H19" s="3" t="s">
        <v>13</v>
      </c>
      <c r="M19" s="3">
        <v>3.0</v>
      </c>
      <c r="N19" s="3" t="s">
        <v>79</v>
      </c>
      <c r="O19" s="3" t="s">
        <v>80</v>
      </c>
      <c r="P19" s="3" t="s">
        <v>11</v>
      </c>
      <c r="Q19" s="3" t="s">
        <v>65</v>
      </c>
      <c r="R19" s="3" t="s">
        <v>13</v>
      </c>
    </row>
    <row r="20">
      <c r="B20" s="4" t="b">
        <v>1</v>
      </c>
      <c r="C20" s="4"/>
      <c r="D20" s="3" t="s">
        <v>32</v>
      </c>
      <c r="E20" s="3" t="s">
        <v>33</v>
      </c>
      <c r="F20" s="3" t="s">
        <v>11</v>
      </c>
      <c r="G20" s="3" t="s">
        <v>30</v>
      </c>
      <c r="H20" s="3" t="s">
        <v>13</v>
      </c>
      <c r="M20" s="2">
        <v>3.0</v>
      </c>
      <c r="N20" s="2" t="s">
        <v>81</v>
      </c>
      <c r="O20" s="2" t="s">
        <v>82</v>
      </c>
      <c r="P20" s="2" t="s">
        <v>11</v>
      </c>
      <c r="Q20" s="2" t="s">
        <v>65</v>
      </c>
      <c r="R20" s="2" t="s">
        <v>13</v>
      </c>
      <c r="S20" s="2"/>
      <c r="U20" s="3"/>
      <c r="V20" s="3"/>
      <c r="W20" s="3"/>
      <c r="X20" s="3"/>
      <c r="Y20" s="3"/>
      <c r="Z20" s="3"/>
    </row>
    <row r="21">
      <c r="B21" s="4" t="b">
        <v>1</v>
      </c>
      <c r="C21" s="4"/>
      <c r="D21" s="3" t="s">
        <v>38</v>
      </c>
      <c r="E21" s="3" t="s">
        <v>39</v>
      </c>
      <c r="F21" s="3" t="s">
        <v>11</v>
      </c>
      <c r="G21" s="3" t="s">
        <v>30</v>
      </c>
      <c r="H21" s="3" t="s">
        <v>13</v>
      </c>
      <c r="M21" s="3">
        <v>3.0</v>
      </c>
      <c r="N21" s="3" t="s">
        <v>83</v>
      </c>
      <c r="O21" s="3" t="s">
        <v>84</v>
      </c>
      <c r="P21" s="3" t="s">
        <v>11</v>
      </c>
      <c r="Q21" s="3" t="s">
        <v>56</v>
      </c>
      <c r="R21" s="3" t="s">
        <v>13</v>
      </c>
    </row>
    <row r="22">
      <c r="B22" s="4" t="b">
        <v>1</v>
      </c>
      <c r="C22" s="4"/>
      <c r="D22" s="3" t="s">
        <v>28</v>
      </c>
      <c r="E22" s="3" t="s">
        <v>42</v>
      </c>
      <c r="F22" s="3" t="s">
        <v>11</v>
      </c>
      <c r="G22" s="3" t="s">
        <v>30</v>
      </c>
      <c r="H22" s="3" t="s">
        <v>13</v>
      </c>
      <c r="I22" s="3"/>
      <c r="M22" s="3">
        <v>3.0</v>
      </c>
      <c r="N22" s="3" t="s">
        <v>85</v>
      </c>
      <c r="O22" s="3" t="s">
        <v>86</v>
      </c>
      <c r="P22" s="3" t="s">
        <v>11</v>
      </c>
      <c r="Q22" s="3" t="s">
        <v>56</v>
      </c>
      <c r="R22" s="3" t="s">
        <v>13</v>
      </c>
    </row>
    <row r="23">
      <c r="B23" s="4" t="b">
        <v>1</v>
      </c>
      <c r="C23" s="4"/>
      <c r="D23" s="3" t="s">
        <v>46</v>
      </c>
      <c r="E23" s="3" t="s">
        <v>47</v>
      </c>
      <c r="F23" s="3" t="s">
        <v>11</v>
      </c>
      <c r="G23" s="3" t="s">
        <v>30</v>
      </c>
      <c r="H23" s="3" t="s">
        <v>13</v>
      </c>
      <c r="M23" s="2">
        <v>3.0</v>
      </c>
      <c r="N23" s="2" t="s">
        <v>54</v>
      </c>
      <c r="O23" s="2" t="s">
        <v>87</v>
      </c>
      <c r="P23" s="2" t="s">
        <v>11</v>
      </c>
      <c r="Q23" s="2" t="s">
        <v>56</v>
      </c>
      <c r="R23" s="2" t="s">
        <v>13</v>
      </c>
      <c r="S23" s="7"/>
      <c r="U23" s="3"/>
      <c r="V23" s="3"/>
      <c r="W23" s="3"/>
      <c r="X23" s="3"/>
      <c r="Y23" s="3"/>
    </row>
    <row r="24">
      <c r="B24" s="4" t="b">
        <v>1</v>
      </c>
      <c r="C24" s="4"/>
      <c r="D24" s="3" t="s">
        <v>50</v>
      </c>
      <c r="E24" s="3" t="s">
        <v>51</v>
      </c>
      <c r="F24" s="3" t="s">
        <v>11</v>
      </c>
      <c r="G24" s="3" t="s">
        <v>30</v>
      </c>
      <c r="H24" s="3" t="s">
        <v>13</v>
      </c>
      <c r="I24" s="3"/>
      <c r="M24" s="3">
        <v>3.0</v>
      </c>
      <c r="N24" s="3" t="s">
        <v>43</v>
      </c>
      <c r="O24" s="3" t="s">
        <v>44</v>
      </c>
      <c r="P24" s="3" t="s">
        <v>11</v>
      </c>
      <c r="Q24" s="3" t="s">
        <v>45</v>
      </c>
      <c r="R24" s="3" t="s">
        <v>13</v>
      </c>
    </row>
    <row r="25">
      <c r="B25" s="4" t="b">
        <v>1</v>
      </c>
      <c r="C25" s="4"/>
      <c r="D25" s="3" t="s">
        <v>88</v>
      </c>
      <c r="E25" s="3" t="s">
        <v>89</v>
      </c>
      <c r="F25" s="3" t="s">
        <v>36</v>
      </c>
      <c r="G25" s="3" t="s">
        <v>30</v>
      </c>
      <c r="H25" s="3" t="s">
        <v>13</v>
      </c>
      <c r="M25" s="3">
        <v>3.0</v>
      </c>
      <c r="N25" s="3" t="s">
        <v>48</v>
      </c>
      <c r="O25" s="3" t="s">
        <v>49</v>
      </c>
      <c r="P25" s="3" t="s">
        <v>11</v>
      </c>
      <c r="Q25" s="3" t="s">
        <v>45</v>
      </c>
      <c r="R25" s="3" t="s">
        <v>13</v>
      </c>
    </row>
    <row r="26">
      <c r="B26" s="4" t="b">
        <v>1</v>
      </c>
      <c r="C26" s="4"/>
      <c r="D26" s="3" t="s">
        <v>90</v>
      </c>
      <c r="E26" s="3" t="s">
        <v>91</v>
      </c>
      <c r="F26" s="3" t="s">
        <v>36</v>
      </c>
      <c r="G26" s="3" t="s">
        <v>30</v>
      </c>
      <c r="H26" s="3" t="s">
        <v>13</v>
      </c>
      <c r="M26" s="2">
        <v>3.0</v>
      </c>
      <c r="N26" s="2" t="s">
        <v>52</v>
      </c>
      <c r="O26" s="2" t="s">
        <v>53</v>
      </c>
      <c r="P26" s="2" t="s">
        <v>11</v>
      </c>
      <c r="Q26" s="2" t="s">
        <v>45</v>
      </c>
      <c r="R26" s="2" t="s">
        <v>13</v>
      </c>
      <c r="S26" s="7"/>
      <c r="U26" s="3"/>
      <c r="V26" s="3"/>
      <c r="W26" s="3"/>
      <c r="X26" s="3"/>
      <c r="Y26" s="3"/>
    </row>
    <row r="27">
      <c r="B27" s="4" t="b">
        <v>1</v>
      </c>
      <c r="C27" s="4"/>
      <c r="D27" s="3" t="s">
        <v>54</v>
      </c>
      <c r="E27" s="3" t="s">
        <v>55</v>
      </c>
      <c r="F27" s="3" t="s">
        <v>11</v>
      </c>
      <c r="G27" s="3" t="s">
        <v>56</v>
      </c>
      <c r="H27" s="3" t="s">
        <v>13</v>
      </c>
      <c r="I27" s="3"/>
      <c r="M27" s="3">
        <v>2.0</v>
      </c>
      <c r="N27" s="3" t="s">
        <v>57</v>
      </c>
      <c r="O27" s="3" t="s">
        <v>58</v>
      </c>
      <c r="P27" s="3" t="s">
        <v>11</v>
      </c>
      <c r="Q27" s="3" t="s">
        <v>45</v>
      </c>
      <c r="R27" s="3" t="s">
        <v>13</v>
      </c>
    </row>
    <row r="28">
      <c r="B28" s="4" t="b">
        <v>1</v>
      </c>
      <c r="C28" s="4"/>
      <c r="D28" s="3" t="s">
        <v>59</v>
      </c>
      <c r="E28" s="3" t="s">
        <v>60</v>
      </c>
      <c r="F28" s="3" t="s">
        <v>11</v>
      </c>
      <c r="G28" s="3" t="s">
        <v>56</v>
      </c>
      <c r="H28" s="3" t="s">
        <v>13</v>
      </c>
      <c r="I28" s="3"/>
      <c r="M28" s="2">
        <v>2.0</v>
      </c>
      <c r="N28" s="2" t="s">
        <v>67</v>
      </c>
      <c r="O28" s="2" t="s">
        <v>68</v>
      </c>
      <c r="P28" s="2" t="s">
        <v>11</v>
      </c>
      <c r="Q28" s="2" t="s">
        <v>45</v>
      </c>
      <c r="R28" s="2" t="s">
        <v>13</v>
      </c>
      <c r="S28" s="7"/>
      <c r="U28" s="3"/>
      <c r="V28" s="3"/>
      <c r="W28" s="3"/>
      <c r="X28" s="3"/>
      <c r="Y28" s="3"/>
    </row>
    <row r="29">
      <c r="B29" s="4" t="b">
        <v>1</v>
      </c>
      <c r="C29" s="4"/>
      <c r="D29" s="3" t="s">
        <v>83</v>
      </c>
      <c r="E29" s="3" t="s">
        <v>84</v>
      </c>
      <c r="F29" s="3" t="s">
        <v>11</v>
      </c>
      <c r="G29" s="3" t="s">
        <v>56</v>
      </c>
      <c r="H29" s="3" t="s">
        <v>13</v>
      </c>
      <c r="M29" s="3">
        <v>2.0</v>
      </c>
      <c r="N29" s="3" t="s">
        <v>34</v>
      </c>
      <c r="O29" s="3" t="s">
        <v>35</v>
      </c>
      <c r="P29" s="3" t="s">
        <v>36</v>
      </c>
      <c r="Q29" s="3" t="s">
        <v>12</v>
      </c>
      <c r="R29" s="3" t="s">
        <v>13</v>
      </c>
    </row>
    <row r="30">
      <c r="B30" s="4" t="b">
        <v>1</v>
      </c>
      <c r="C30" s="4"/>
      <c r="D30" s="3" t="s">
        <v>85</v>
      </c>
      <c r="E30" s="3" t="s">
        <v>86</v>
      </c>
      <c r="F30" s="3" t="s">
        <v>11</v>
      </c>
      <c r="G30" s="3" t="s">
        <v>56</v>
      </c>
      <c r="H30" s="3" t="s">
        <v>13</v>
      </c>
      <c r="M30" s="2">
        <v>2.0</v>
      </c>
      <c r="N30" s="2" t="s">
        <v>40</v>
      </c>
      <c r="O30" s="2" t="s">
        <v>41</v>
      </c>
      <c r="P30" s="2" t="s">
        <v>36</v>
      </c>
      <c r="Q30" s="2" t="s">
        <v>12</v>
      </c>
      <c r="R30" s="2" t="s">
        <v>13</v>
      </c>
      <c r="S30" s="7"/>
      <c r="U30" s="3"/>
      <c r="V30" s="3"/>
      <c r="W30" s="3"/>
      <c r="X30" s="3"/>
      <c r="Y30" s="3"/>
    </row>
    <row r="31">
      <c r="B31" s="4" t="b">
        <v>1</v>
      </c>
      <c r="C31" s="4"/>
      <c r="D31" s="3" t="s">
        <v>92</v>
      </c>
      <c r="E31" s="3" t="s">
        <v>93</v>
      </c>
      <c r="F31" s="3" t="s">
        <v>11</v>
      </c>
      <c r="G31" s="3" t="s">
        <v>56</v>
      </c>
      <c r="H31" s="3" t="s">
        <v>16</v>
      </c>
      <c r="I31" s="3"/>
      <c r="M31" s="3">
        <v>2.0</v>
      </c>
      <c r="N31" s="3" t="s">
        <v>71</v>
      </c>
      <c r="O31" s="3" t="s">
        <v>72</v>
      </c>
      <c r="P31" s="3" t="s">
        <v>36</v>
      </c>
      <c r="Q31" s="3" t="s">
        <v>45</v>
      </c>
      <c r="R31" s="8" t="s">
        <v>13</v>
      </c>
      <c r="Y31" s="8"/>
    </row>
    <row r="32">
      <c r="B32" s="4" t="b">
        <v>1</v>
      </c>
      <c r="C32" s="4"/>
      <c r="D32" s="3" t="s">
        <v>54</v>
      </c>
      <c r="E32" s="3" t="s">
        <v>87</v>
      </c>
      <c r="F32" s="3" t="s">
        <v>11</v>
      </c>
      <c r="G32" s="3" t="s">
        <v>56</v>
      </c>
      <c r="H32" s="3" t="s">
        <v>13</v>
      </c>
      <c r="I32" s="3"/>
      <c r="M32" s="2">
        <v>2.0</v>
      </c>
      <c r="N32" s="2" t="s">
        <v>75</v>
      </c>
      <c r="O32" s="2" t="s">
        <v>76</v>
      </c>
      <c r="P32" s="2" t="s">
        <v>36</v>
      </c>
      <c r="Q32" s="2" t="s">
        <v>45</v>
      </c>
      <c r="R32" s="2" t="s">
        <v>13</v>
      </c>
      <c r="S32" s="7"/>
      <c r="U32" s="3"/>
      <c r="V32" s="3"/>
      <c r="W32" s="3"/>
      <c r="X32" s="3"/>
      <c r="Y32" s="3"/>
    </row>
    <row r="33">
      <c r="B33" s="4" t="b">
        <v>1</v>
      </c>
      <c r="C33" s="4"/>
      <c r="D33" s="3" t="s">
        <v>94</v>
      </c>
      <c r="E33" s="3" t="s">
        <v>95</v>
      </c>
      <c r="F33" s="3" t="s">
        <v>36</v>
      </c>
      <c r="G33" s="3" t="s">
        <v>56</v>
      </c>
      <c r="H33" s="3" t="s">
        <v>16</v>
      </c>
      <c r="M33" s="3">
        <v>2.0</v>
      </c>
      <c r="N33" s="3" t="s">
        <v>88</v>
      </c>
      <c r="O33" s="3" t="s">
        <v>89</v>
      </c>
      <c r="P33" s="3" t="s">
        <v>36</v>
      </c>
      <c r="Q33" s="3" t="s">
        <v>30</v>
      </c>
      <c r="R33" s="3" t="s">
        <v>13</v>
      </c>
    </row>
    <row r="34">
      <c r="B34" s="4" t="b">
        <v>1</v>
      </c>
      <c r="C34" s="4"/>
      <c r="D34" s="3" t="s">
        <v>96</v>
      </c>
      <c r="E34" s="3" t="s">
        <v>97</v>
      </c>
      <c r="F34" s="3" t="s">
        <v>36</v>
      </c>
      <c r="G34" s="3" t="s">
        <v>56</v>
      </c>
      <c r="H34" s="3" t="s">
        <v>13</v>
      </c>
      <c r="M34" s="2">
        <v>2.0</v>
      </c>
      <c r="N34" s="2" t="s">
        <v>90</v>
      </c>
      <c r="O34" s="2" t="s">
        <v>91</v>
      </c>
      <c r="P34" s="2" t="s">
        <v>36</v>
      </c>
      <c r="Q34" s="2" t="s">
        <v>30</v>
      </c>
      <c r="R34" s="2" t="s">
        <v>13</v>
      </c>
      <c r="S34" s="7"/>
      <c r="U34" s="3"/>
      <c r="V34" s="3"/>
      <c r="W34" s="3"/>
      <c r="X34" s="3"/>
      <c r="Y34" s="3"/>
    </row>
    <row r="35">
      <c r="B35" s="4" t="b">
        <v>1</v>
      </c>
      <c r="C35" s="4"/>
      <c r="D35" s="3" t="s">
        <v>19</v>
      </c>
      <c r="E35" s="3" t="s">
        <v>64</v>
      </c>
      <c r="F35" s="3" t="s">
        <v>11</v>
      </c>
      <c r="G35" s="3" t="s">
        <v>65</v>
      </c>
      <c r="H35" s="3" t="s">
        <v>13</v>
      </c>
      <c r="I35" s="3" t="s">
        <v>66</v>
      </c>
      <c r="M35" s="3">
        <v>2.0</v>
      </c>
      <c r="N35" s="3" t="s">
        <v>98</v>
      </c>
      <c r="O35" s="3" t="s">
        <v>99</v>
      </c>
      <c r="P35" s="3" t="s">
        <v>36</v>
      </c>
      <c r="Q35" s="3" t="s">
        <v>65</v>
      </c>
      <c r="R35" s="3" t="s">
        <v>13</v>
      </c>
    </row>
    <row r="36">
      <c r="B36" s="4" t="b">
        <v>1</v>
      </c>
      <c r="C36" s="4"/>
      <c r="D36" s="3" t="s">
        <v>69</v>
      </c>
      <c r="E36" s="3" t="s">
        <v>70</v>
      </c>
      <c r="F36" s="3" t="s">
        <v>11</v>
      </c>
      <c r="G36" s="3" t="s">
        <v>65</v>
      </c>
      <c r="H36" s="3" t="s">
        <v>13</v>
      </c>
      <c r="I36" s="3"/>
      <c r="M36" s="2">
        <v>2.0</v>
      </c>
      <c r="N36" s="2" t="s">
        <v>100</v>
      </c>
      <c r="O36" s="2" t="s">
        <v>101</v>
      </c>
      <c r="P36" s="2" t="s">
        <v>36</v>
      </c>
      <c r="Q36" s="2" t="s">
        <v>65</v>
      </c>
      <c r="R36" s="2" t="s">
        <v>13</v>
      </c>
      <c r="S36" s="7"/>
      <c r="U36" s="3"/>
      <c r="V36" s="3"/>
      <c r="W36" s="3"/>
      <c r="X36" s="3"/>
      <c r="Y36" s="3"/>
    </row>
    <row r="37">
      <c r="B37" s="4" t="b">
        <v>1</v>
      </c>
      <c r="C37" s="4"/>
      <c r="D37" s="3" t="s">
        <v>73</v>
      </c>
      <c r="E37" s="3" t="s">
        <v>74</v>
      </c>
      <c r="F37" s="3" t="s">
        <v>11</v>
      </c>
      <c r="G37" s="3" t="s">
        <v>65</v>
      </c>
      <c r="H37" s="3" t="s">
        <v>13</v>
      </c>
      <c r="I37" s="3" t="s">
        <v>66</v>
      </c>
      <c r="M37" s="3">
        <v>2.0</v>
      </c>
      <c r="N37" s="5" t="s">
        <v>14</v>
      </c>
      <c r="O37" s="5" t="s">
        <v>15</v>
      </c>
      <c r="P37" s="3" t="s">
        <v>11</v>
      </c>
      <c r="Q37" s="3" t="s">
        <v>12</v>
      </c>
      <c r="R37" s="3" t="s">
        <v>16</v>
      </c>
    </row>
    <row r="38">
      <c r="B38" s="4" t="b">
        <v>1</v>
      </c>
      <c r="C38" s="4"/>
      <c r="D38" s="3" t="s">
        <v>77</v>
      </c>
      <c r="E38" s="3" t="s">
        <v>78</v>
      </c>
      <c r="F38" s="3" t="s">
        <v>11</v>
      </c>
      <c r="G38" s="3" t="s">
        <v>65</v>
      </c>
      <c r="H38" s="3" t="s">
        <v>13</v>
      </c>
      <c r="M38" s="2">
        <v>2.0</v>
      </c>
      <c r="N38" s="2" t="s">
        <v>25</v>
      </c>
      <c r="O38" s="2" t="s">
        <v>26</v>
      </c>
      <c r="P38" s="2" t="s">
        <v>11</v>
      </c>
      <c r="Q38" s="2" t="s">
        <v>12</v>
      </c>
      <c r="R38" s="2" t="s">
        <v>16</v>
      </c>
      <c r="S38" s="7"/>
      <c r="U38" s="3"/>
      <c r="V38" s="3"/>
      <c r="W38" s="3"/>
      <c r="X38" s="3"/>
      <c r="Y38" s="3"/>
    </row>
    <row r="39">
      <c r="B39" s="4" t="b">
        <v>1</v>
      </c>
      <c r="C39" s="4"/>
      <c r="D39" s="3" t="s">
        <v>79</v>
      </c>
      <c r="E39" s="3" t="s">
        <v>80</v>
      </c>
      <c r="F39" s="3" t="s">
        <v>11</v>
      </c>
      <c r="G39" s="3" t="s">
        <v>65</v>
      </c>
      <c r="H39" s="3" t="s">
        <v>13</v>
      </c>
      <c r="M39" s="3">
        <v>2.0</v>
      </c>
      <c r="N39" s="3" t="s">
        <v>61</v>
      </c>
      <c r="O39" s="3" t="s">
        <v>62</v>
      </c>
      <c r="P39" s="3" t="s">
        <v>11</v>
      </c>
      <c r="Q39" s="3" t="s">
        <v>45</v>
      </c>
      <c r="R39" s="3" t="s">
        <v>16</v>
      </c>
      <c r="S39" s="3" t="s">
        <v>63</v>
      </c>
    </row>
    <row r="40">
      <c r="B40" s="4" t="b">
        <v>1</v>
      </c>
      <c r="C40" s="4"/>
      <c r="D40" s="3" t="s">
        <v>81</v>
      </c>
      <c r="E40" s="3" t="s">
        <v>82</v>
      </c>
      <c r="F40" s="3" t="s">
        <v>11</v>
      </c>
      <c r="G40" s="3" t="s">
        <v>65</v>
      </c>
      <c r="H40" s="3" t="s">
        <v>13</v>
      </c>
      <c r="I40" s="3"/>
      <c r="M40" s="2">
        <v>2.0</v>
      </c>
      <c r="N40" s="2" t="s">
        <v>92</v>
      </c>
      <c r="O40" s="2" t="s">
        <v>93</v>
      </c>
      <c r="P40" s="2" t="s">
        <v>11</v>
      </c>
      <c r="Q40" s="2" t="s">
        <v>56</v>
      </c>
      <c r="R40" s="2" t="s">
        <v>16</v>
      </c>
      <c r="S40" s="7"/>
      <c r="U40" s="3"/>
      <c r="V40" s="3"/>
      <c r="W40" s="3"/>
      <c r="X40" s="3"/>
      <c r="Y40" s="3"/>
    </row>
    <row r="41">
      <c r="B41" s="4" t="b">
        <v>1</v>
      </c>
      <c r="C41" s="4"/>
      <c r="D41" s="3" t="s">
        <v>98</v>
      </c>
      <c r="E41" s="3" t="s">
        <v>99</v>
      </c>
      <c r="F41" s="3" t="s">
        <v>36</v>
      </c>
      <c r="G41" s="3" t="s">
        <v>65</v>
      </c>
      <c r="H41" s="3" t="s">
        <v>13</v>
      </c>
      <c r="I41" s="3"/>
      <c r="M41" s="3">
        <v>1.0</v>
      </c>
      <c r="N41" s="3" t="s">
        <v>94</v>
      </c>
      <c r="O41" s="3" t="s">
        <v>95</v>
      </c>
      <c r="P41" s="3" t="s">
        <v>36</v>
      </c>
      <c r="Q41" s="3" t="s">
        <v>56</v>
      </c>
      <c r="R41" s="3" t="s">
        <v>16</v>
      </c>
    </row>
    <row r="42">
      <c r="B42" s="4" t="b">
        <v>1</v>
      </c>
      <c r="C42" s="4"/>
      <c r="D42" s="3" t="s">
        <v>100</v>
      </c>
      <c r="E42" s="3" t="s">
        <v>101</v>
      </c>
      <c r="F42" s="3" t="s">
        <v>36</v>
      </c>
      <c r="G42" s="3" t="s">
        <v>65</v>
      </c>
      <c r="H42" s="3" t="s">
        <v>13</v>
      </c>
    </row>
    <row r="43">
      <c r="B43" s="4"/>
      <c r="C43" s="4"/>
    </row>
    <row r="44">
      <c r="B44" s="4"/>
      <c r="C44" s="4"/>
      <c r="D44" s="3"/>
      <c r="E44" s="3"/>
      <c r="F44" s="3"/>
      <c r="G44" s="3"/>
      <c r="H44" s="3"/>
      <c r="I44" s="3"/>
    </row>
    <row r="45">
      <c r="B45" s="4"/>
      <c r="C45" s="4"/>
      <c r="D45" s="3"/>
      <c r="E45" s="3"/>
      <c r="F45" s="3"/>
      <c r="G45" s="3"/>
      <c r="H45" s="3"/>
      <c r="I45" s="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75"/>
    <col customWidth="1" min="2" max="3" width="6.0"/>
    <col customWidth="1" min="4" max="6" width="22.13"/>
    <col customWidth="1" min="7" max="7" width="28.13"/>
    <col customWidth="1" min="8" max="8" width="20.25"/>
    <col customWidth="1" min="9" max="9" width="24.25"/>
    <col customWidth="1" min="10" max="10" width="18.88"/>
    <col customWidth="1" min="11" max="29" width="12.63"/>
  </cols>
  <sheetData>
    <row r="1" ht="30.0" customHeight="1">
      <c r="A1" s="9" t="s">
        <v>102</v>
      </c>
      <c r="B1" s="10"/>
      <c r="C1" s="10"/>
      <c r="D1" s="10"/>
      <c r="E1" s="10"/>
      <c r="F1" s="10"/>
      <c r="G1" s="11"/>
      <c r="H1" s="11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ht="12.75" customHeight="1">
      <c r="A2" s="13" t="s">
        <v>103</v>
      </c>
      <c r="B2" s="11"/>
      <c r="C2" s="11"/>
      <c r="D2" s="11"/>
      <c r="E2" s="11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12.75" customHeight="1">
      <c r="A3" s="13" t="s">
        <v>104</v>
      </c>
      <c r="B3" s="11"/>
      <c r="C3" s="11"/>
      <c r="D3" s="11"/>
      <c r="E3" s="11"/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14.25" customHeight="1">
      <c r="A4" s="14"/>
      <c r="B4" s="11"/>
      <c r="C4" s="11"/>
      <c r="D4" s="11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18.0" customHeight="1">
      <c r="A5" s="15" t="s">
        <v>105</v>
      </c>
      <c r="B5" s="11"/>
      <c r="C5" s="11"/>
      <c r="D5" s="11"/>
      <c r="E5" s="11"/>
      <c r="F5" s="11"/>
      <c r="G5" s="11"/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ht="14.25" customHeight="1">
      <c r="A6" s="14"/>
      <c r="B6" s="11"/>
      <c r="C6" s="11"/>
      <c r="D6" s="11"/>
      <c r="E6" s="11"/>
      <c r="F6" s="11"/>
      <c r="G6" s="11"/>
      <c r="H6" s="11"/>
      <c r="I6" s="11"/>
      <c r="J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ht="14.25" customHeight="1">
      <c r="A7" s="14"/>
      <c r="B7" s="11"/>
      <c r="C7" s="11"/>
      <c r="D7" s="11"/>
      <c r="E7" s="11"/>
      <c r="F7" s="11"/>
      <c r="G7" s="11"/>
      <c r="H7" s="11"/>
      <c r="I7" s="11"/>
      <c r="J7" s="14"/>
      <c r="K7" s="12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ht="12.75" customHeight="1">
      <c r="A8" s="16">
        <v>45095.0</v>
      </c>
      <c r="B8" s="17"/>
      <c r="C8" s="17"/>
      <c r="D8" s="17"/>
      <c r="E8" s="17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ht="12.75" customHeight="1">
      <c r="A9" s="18"/>
      <c r="B9" s="18" t="s">
        <v>106</v>
      </c>
      <c r="C9" s="18" t="s">
        <v>107</v>
      </c>
      <c r="D9" s="19" t="s">
        <v>108</v>
      </c>
      <c r="E9" s="19" t="s">
        <v>109</v>
      </c>
      <c r="F9" s="19" t="s">
        <v>110</v>
      </c>
      <c r="G9" s="19" t="s">
        <v>111</v>
      </c>
      <c r="H9" s="19" t="s">
        <v>112</v>
      </c>
      <c r="I9" s="18" t="s">
        <v>113</v>
      </c>
      <c r="J9" s="20" t="s">
        <v>114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14.25" customHeight="1">
      <c r="A10" s="11"/>
      <c r="B10" s="21">
        <v>0.5833333333333334</v>
      </c>
      <c r="C10" s="22" t="s">
        <v>115</v>
      </c>
      <c r="D10" s="23" t="s">
        <v>116</v>
      </c>
      <c r="E10" s="24"/>
      <c r="F10" s="25"/>
      <c r="G10" s="25"/>
      <c r="H10" s="25" t="s">
        <v>117</v>
      </c>
      <c r="I10" s="26" t="s">
        <v>118</v>
      </c>
      <c r="J10" s="27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14.25" customHeight="1">
      <c r="A11" s="11"/>
      <c r="B11" s="21">
        <v>0.75</v>
      </c>
      <c r="C11" s="21">
        <v>0.875</v>
      </c>
      <c r="D11" s="28" t="s">
        <v>119</v>
      </c>
      <c r="E11" s="29"/>
      <c r="G11" s="17"/>
      <c r="H11" s="30" t="s">
        <v>117</v>
      </c>
      <c r="I11" s="26" t="s">
        <v>118</v>
      </c>
      <c r="J11" s="27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14.2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14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12.75" customHeight="1">
      <c r="A14" s="16">
        <v>45096.0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12.75" customHeight="1">
      <c r="A15" s="18"/>
      <c r="B15" s="18" t="s">
        <v>106</v>
      </c>
      <c r="C15" s="18" t="s">
        <v>107</v>
      </c>
      <c r="D15" s="19" t="s">
        <v>108</v>
      </c>
      <c r="E15" s="19" t="s">
        <v>109</v>
      </c>
      <c r="F15" s="19" t="s">
        <v>110</v>
      </c>
      <c r="G15" s="19" t="s">
        <v>111</v>
      </c>
      <c r="H15" s="19" t="s">
        <v>112</v>
      </c>
      <c r="I15" s="18" t="s">
        <v>113</v>
      </c>
      <c r="J15" s="20" t="s">
        <v>114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28.5" customHeight="1">
      <c r="A16" s="11"/>
      <c r="B16" s="31" t="s">
        <v>115</v>
      </c>
      <c r="C16" s="32">
        <v>0.3229166666666667</v>
      </c>
      <c r="D16" s="33" t="s">
        <v>120</v>
      </c>
      <c r="E16" s="24"/>
      <c r="F16" s="34"/>
      <c r="G16" s="35"/>
      <c r="H16" s="35" t="s">
        <v>117</v>
      </c>
      <c r="I16" s="36"/>
      <c r="J16" s="27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28.5" customHeight="1">
      <c r="A17" s="11"/>
      <c r="B17" s="37">
        <v>0.3194444444444444</v>
      </c>
      <c r="C17" s="38"/>
      <c r="D17" s="33" t="s">
        <v>121</v>
      </c>
      <c r="E17" s="24"/>
      <c r="F17" s="34"/>
      <c r="G17" s="35"/>
      <c r="H17" s="35" t="s">
        <v>122</v>
      </c>
      <c r="I17" s="36"/>
      <c r="J17" s="27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11"/>
      <c r="B18" s="39"/>
      <c r="C18" s="40">
        <v>0.3541666666666667</v>
      </c>
      <c r="D18" s="33"/>
      <c r="E18" s="24"/>
      <c r="F18" s="36" t="s">
        <v>123</v>
      </c>
      <c r="G18" s="36"/>
      <c r="H18" s="36" t="s">
        <v>124</v>
      </c>
      <c r="I18" s="33" t="s">
        <v>125</v>
      </c>
      <c r="J18" s="27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11"/>
      <c r="B19" s="41">
        <v>0.3541666666666667</v>
      </c>
      <c r="C19" s="40">
        <v>0.3645833333333333</v>
      </c>
      <c r="D19" s="34"/>
      <c r="E19" s="36" t="s">
        <v>126</v>
      </c>
      <c r="F19" s="36"/>
      <c r="G19" s="36"/>
      <c r="H19" s="36"/>
      <c r="I19" s="42"/>
      <c r="J19" s="27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11"/>
      <c r="B20" s="39">
        <v>0.3645833333333333</v>
      </c>
      <c r="C20" s="41">
        <v>0.3854166666666667</v>
      </c>
      <c r="D20" s="43" t="s">
        <v>127</v>
      </c>
      <c r="E20" s="44" t="s">
        <v>128</v>
      </c>
      <c r="F20" s="44"/>
      <c r="G20" s="36"/>
      <c r="H20" s="36"/>
      <c r="I20" s="45"/>
      <c r="J20" s="27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11"/>
      <c r="B21" s="41">
        <v>0.3854166666666667</v>
      </c>
      <c r="C21" s="41">
        <v>0.5</v>
      </c>
      <c r="D21" s="46"/>
      <c r="E21" s="47" t="s">
        <v>129</v>
      </c>
      <c r="F21" s="44"/>
      <c r="G21" s="36"/>
      <c r="H21" s="36"/>
      <c r="I21" s="48"/>
      <c r="J21" s="27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22.5" customHeight="1">
      <c r="A22" s="11"/>
      <c r="B22" s="41">
        <v>0.5</v>
      </c>
      <c r="C22" s="41">
        <v>0.5416666666666666</v>
      </c>
      <c r="D22" s="46"/>
      <c r="E22" s="47" t="s">
        <v>130</v>
      </c>
      <c r="F22" s="44"/>
      <c r="G22" s="49" t="s">
        <v>131</v>
      </c>
      <c r="H22" s="36"/>
      <c r="I22" s="50"/>
      <c r="J22" s="5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20.25" customHeight="1">
      <c r="A23" s="11"/>
      <c r="B23" s="41">
        <v>0.5416666666666666</v>
      </c>
      <c r="C23" s="41">
        <v>0.5520833333333334</v>
      </c>
      <c r="D23" s="52"/>
      <c r="E23" s="33" t="s">
        <v>132</v>
      </c>
      <c r="F23" s="44"/>
      <c r="G23" s="52"/>
      <c r="H23" s="36"/>
      <c r="I23" s="47"/>
      <c r="J23" s="5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11"/>
      <c r="B24" s="41">
        <v>0.5520833333333334</v>
      </c>
      <c r="C24" s="53">
        <v>0.5625</v>
      </c>
      <c r="D24" s="54" t="s">
        <v>133</v>
      </c>
      <c r="E24" s="24"/>
      <c r="F24" s="49" t="s">
        <v>134</v>
      </c>
      <c r="G24" s="49" t="s">
        <v>134</v>
      </c>
      <c r="H24" s="36"/>
      <c r="I24" s="47"/>
      <c r="J24" s="5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>
      <c r="A25" s="11"/>
      <c r="B25" s="41">
        <v>0.5625</v>
      </c>
      <c r="C25" s="53">
        <v>0.5833333333333334</v>
      </c>
      <c r="D25" s="49" t="s">
        <v>135</v>
      </c>
      <c r="E25" s="54"/>
      <c r="F25" s="52"/>
      <c r="G25" s="52"/>
      <c r="H25" s="44"/>
      <c r="I25" s="50"/>
      <c r="J25" s="5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60.75" customHeight="1">
      <c r="A26" s="11"/>
      <c r="B26" s="39">
        <v>0.5833333333333334</v>
      </c>
      <c r="C26" s="39">
        <v>0.8125</v>
      </c>
      <c r="D26" s="52"/>
      <c r="E26" s="55" t="s">
        <v>136</v>
      </c>
      <c r="F26" s="56"/>
      <c r="G26" s="24"/>
      <c r="H26" s="44" t="s">
        <v>124</v>
      </c>
      <c r="I26" s="50"/>
      <c r="J26" s="27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14.25" customHeight="1">
      <c r="A27" s="11"/>
      <c r="B27" s="31" t="s">
        <v>115</v>
      </c>
      <c r="C27" s="31" t="s">
        <v>115</v>
      </c>
      <c r="D27" s="57" t="s">
        <v>119</v>
      </c>
      <c r="E27" s="29"/>
      <c r="F27" s="58"/>
      <c r="G27" s="58"/>
      <c r="H27" s="44" t="s">
        <v>117</v>
      </c>
      <c r="I27" s="47" t="s">
        <v>137</v>
      </c>
      <c r="J27" s="27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23.25" customHeight="1">
      <c r="A29" s="16">
        <v>45097.0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14.25" customHeight="1">
      <c r="A30" s="18"/>
      <c r="B30" s="18" t="s">
        <v>106</v>
      </c>
      <c r="C30" s="18" t="s">
        <v>107</v>
      </c>
      <c r="D30" s="19" t="s">
        <v>108</v>
      </c>
      <c r="E30" s="19" t="s">
        <v>109</v>
      </c>
      <c r="F30" s="19" t="s">
        <v>110</v>
      </c>
      <c r="G30" s="19" t="s">
        <v>111</v>
      </c>
      <c r="H30" s="19" t="s">
        <v>112</v>
      </c>
      <c r="I30" s="18" t="s">
        <v>113</v>
      </c>
      <c r="J30" s="20" t="s">
        <v>114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14.25" customHeight="1">
      <c r="A31" s="11"/>
      <c r="B31" s="31" t="s">
        <v>115</v>
      </c>
      <c r="C31" s="32">
        <v>0.3229166666666667</v>
      </c>
      <c r="D31" s="33" t="s">
        <v>120</v>
      </c>
      <c r="E31" s="24"/>
      <c r="F31" s="34"/>
      <c r="G31" s="35"/>
      <c r="H31" s="35" t="s">
        <v>117</v>
      </c>
      <c r="I31" s="36"/>
      <c r="J31" s="27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14.25" customHeight="1">
      <c r="A32" s="11"/>
      <c r="B32" s="37">
        <v>0.3194444444444444</v>
      </c>
      <c r="C32" s="38"/>
      <c r="D32" s="33" t="s">
        <v>138</v>
      </c>
      <c r="E32" s="24"/>
      <c r="F32" s="34"/>
      <c r="G32" s="35"/>
      <c r="H32" s="35" t="s">
        <v>122</v>
      </c>
      <c r="I32" s="36"/>
      <c r="J32" s="27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14.25" customHeight="1">
      <c r="A33" s="11"/>
      <c r="B33" s="39"/>
      <c r="C33" s="40">
        <v>0.3541666666666667</v>
      </c>
      <c r="D33" s="34"/>
      <c r="E33" s="34"/>
      <c r="F33" s="36" t="s">
        <v>123</v>
      </c>
      <c r="G33" s="36"/>
      <c r="H33" s="36" t="s">
        <v>124</v>
      </c>
      <c r="I33" s="33" t="s">
        <v>125</v>
      </c>
      <c r="J33" s="27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14.25" customHeight="1">
      <c r="A34" s="11"/>
      <c r="B34" s="39">
        <v>0.3645833333333333</v>
      </c>
      <c r="C34" s="41">
        <v>0.3854166666666667</v>
      </c>
      <c r="D34" s="43" t="s">
        <v>127</v>
      </c>
      <c r="E34" s="44" t="s">
        <v>139</v>
      </c>
      <c r="F34" s="44"/>
      <c r="G34" s="36"/>
      <c r="H34" s="36"/>
      <c r="I34" s="45"/>
      <c r="J34" s="27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14.25" customHeight="1">
      <c r="A35" s="11"/>
      <c r="B35" s="41">
        <v>0.3854166666666667</v>
      </c>
      <c r="C35" s="41">
        <v>0.5</v>
      </c>
      <c r="D35" s="46"/>
      <c r="E35" s="47" t="s">
        <v>129</v>
      </c>
      <c r="F35" s="24"/>
      <c r="G35" s="36"/>
      <c r="H35" s="36"/>
      <c r="I35" s="48"/>
      <c r="J35" s="27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23.25" customHeight="1">
      <c r="A36" s="11"/>
      <c r="B36" s="41">
        <v>0.5</v>
      </c>
      <c r="C36" s="41">
        <v>0.5416666666666666</v>
      </c>
      <c r="D36" s="46"/>
      <c r="E36" s="47" t="s">
        <v>130</v>
      </c>
      <c r="F36" s="44" t="s">
        <v>129</v>
      </c>
      <c r="G36" s="49" t="s">
        <v>140</v>
      </c>
      <c r="H36" s="36"/>
      <c r="I36" s="50"/>
      <c r="J36" s="5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22.5" customHeight="1">
      <c r="A37" s="11"/>
      <c r="B37" s="41">
        <v>0.5416666666666666</v>
      </c>
      <c r="C37" s="41">
        <v>0.5520833333333334</v>
      </c>
      <c r="D37" s="52"/>
      <c r="E37" s="33" t="s">
        <v>132</v>
      </c>
      <c r="F37" s="44"/>
      <c r="G37" s="52"/>
      <c r="H37" s="36"/>
      <c r="I37" s="47"/>
      <c r="J37" s="5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14.25" customHeight="1">
      <c r="A38" s="11"/>
      <c r="B38" s="41">
        <v>0.5520833333333334</v>
      </c>
      <c r="C38" s="53">
        <v>0.5625</v>
      </c>
      <c r="D38" s="54" t="s">
        <v>141</v>
      </c>
      <c r="E38" s="24"/>
      <c r="F38" s="49" t="s">
        <v>134</v>
      </c>
      <c r="G38" s="49" t="s">
        <v>134</v>
      </c>
      <c r="H38" s="36"/>
      <c r="I38" s="47"/>
      <c r="J38" s="5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14.25" customHeight="1">
      <c r="A39" s="11"/>
      <c r="B39" s="41">
        <v>0.5625</v>
      </c>
      <c r="C39" s="53">
        <v>0.5833333333333334</v>
      </c>
      <c r="D39" s="49" t="s">
        <v>142</v>
      </c>
      <c r="E39" s="54"/>
      <c r="F39" s="52"/>
      <c r="G39" s="52"/>
      <c r="H39" s="44"/>
      <c r="I39" s="50"/>
      <c r="J39" s="5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59.25" customHeight="1">
      <c r="A40" s="11"/>
      <c r="B40" s="39">
        <v>0.5833333333333334</v>
      </c>
      <c r="C40" s="39">
        <v>0.8125</v>
      </c>
      <c r="D40" s="52"/>
      <c r="E40" s="55" t="s">
        <v>136</v>
      </c>
      <c r="F40" s="56"/>
      <c r="G40" s="24"/>
      <c r="H40" s="44" t="s">
        <v>124</v>
      </c>
      <c r="I40" s="50"/>
      <c r="J40" s="27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14.25" customHeight="1">
      <c r="A41" s="11"/>
      <c r="B41" s="59">
        <v>0.8125</v>
      </c>
      <c r="C41" s="31" t="s">
        <v>115</v>
      </c>
      <c r="D41" s="60" t="s">
        <v>143</v>
      </c>
      <c r="E41" s="7"/>
      <c r="F41" s="7"/>
      <c r="G41" s="29"/>
      <c r="H41" s="44" t="s">
        <v>144</v>
      </c>
      <c r="I41" s="47" t="s">
        <v>137</v>
      </c>
      <c r="J41" s="27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12.75" customHeight="1">
      <c r="A44" s="61">
        <v>45098.0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12.75" customHeight="1">
      <c r="A45" s="18"/>
      <c r="B45" s="18" t="s">
        <v>106</v>
      </c>
      <c r="C45" s="18" t="s">
        <v>107</v>
      </c>
      <c r="D45" s="18" t="s">
        <v>145</v>
      </c>
      <c r="E45" s="18"/>
      <c r="F45" s="18"/>
      <c r="G45" s="18"/>
      <c r="H45" s="18" t="s">
        <v>146</v>
      </c>
      <c r="I45" s="18" t="s">
        <v>113</v>
      </c>
      <c r="J45" s="20" t="s">
        <v>114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28.5" customHeight="1">
      <c r="A46" s="3"/>
      <c r="B46" s="62">
        <v>0.375</v>
      </c>
      <c r="C46" s="62">
        <v>0.4375</v>
      </c>
      <c r="D46" s="27" t="s">
        <v>147</v>
      </c>
      <c r="E46" s="27"/>
      <c r="F46" s="27"/>
      <c r="G46" s="30"/>
      <c r="H46" s="30" t="s">
        <v>148</v>
      </c>
      <c r="I46" s="26" t="s">
        <v>149</v>
      </c>
      <c r="J46" s="30" t="s">
        <v>150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28.5" customHeight="1">
      <c r="A47" s="11" t="s">
        <v>151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21.75" customHeight="1">
      <c r="A48" s="3" t="s">
        <v>152</v>
      </c>
      <c r="B48" s="63"/>
      <c r="C48" s="63"/>
      <c r="D48" s="63"/>
      <c r="E48" s="63"/>
      <c r="F48" s="63"/>
      <c r="G48" s="63"/>
      <c r="H48" s="63"/>
      <c r="I48" s="6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ht="14.25" customHeight="1">
      <c r="A49" s="64" t="s">
        <v>153</v>
      </c>
      <c r="B49" s="63"/>
      <c r="C49" s="63"/>
      <c r="D49" s="63"/>
      <c r="E49" s="63"/>
      <c r="F49" s="63"/>
      <c r="G49" s="63"/>
      <c r="H49" s="63"/>
      <c r="I49" s="6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 ht="14.25" customHeight="1">
      <c r="A50" s="14"/>
      <c r="B50" s="63"/>
      <c r="C50" s="63"/>
      <c r="D50" s="63"/>
      <c r="E50" s="63"/>
      <c r="F50" s="63"/>
      <c r="G50" s="63"/>
      <c r="H50" s="63"/>
      <c r="I50" s="6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 ht="14.25" customHeight="1">
      <c r="A51" s="14"/>
      <c r="B51" s="63"/>
      <c r="C51" s="63"/>
      <c r="D51" s="63"/>
      <c r="E51" s="63"/>
      <c r="F51" s="63"/>
      <c r="G51" s="63"/>
      <c r="H51" s="63"/>
      <c r="I51" s="6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ht="14.25" customHeight="1">
      <c r="A52" s="14"/>
      <c r="B52" s="63"/>
      <c r="C52" s="63"/>
      <c r="D52" s="63"/>
      <c r="E52" s="63"/>
      <c r="F52" s="63"/>
      <c r="G52" s="63"/>
      <c r="H52" s="63"/>
      <c r="I52" s="6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ht="14.25" customHeight="1">
      <c r="A53" s="14"/>
      <c r="B53" s="63"/>
      <c r="C53" s="63"/>
      <c r="D53" s="63"/>
      <c r="E53" s="63"/>
      <c r="F53" s="63"/>
      <c r="G53" s="63"/>
      <c r="H53" s="63"/>
      <c r="I53" s="6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ht="14.25" customHeight="1">
      <c r="A54" s="14"/>
      <c r="B54" s="63"/>
      <c r="C54" s="63"/>
      <c r="D54" s="63"/>
      <c r="E54" s="63"/>
      <c r="F54" s="63"/>
      <c r="G54" s="63"/>
      <c r="H54" s="63"/>
      <c r="I54" s="6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 ht="14.25" customHeight="1">
      <c r="A55" s="14"/>
      <c r="B55" s="63"/>
      <c r="C55" s="63"/>
      <c r="D55" s="63"/>
      <c r="E55" s="63"/>
      <c r="F55" s="63"/>
      <c r="G55" s="63"/>
      <c r="H55" s="63"/>
      <c r="I55" s="63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ht="14.25" customHeight="1">
      <c r="A56" s="14"/>
      <c r="B56" s="63"/>
      <c r="C56" s="63"/>
      <c r="D56" s="63"/>
      <c r="E56" s="63"/>
      <c r="F56" s="63"/>
      <c r="G56" s="63"/>
      <c r="H56" s="63"/>
      <c r="I56" s="6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ht="14.25" customHeight="1">
      <c r="A57" s="14"/>
      <c r="B57" s="63"/>
      <c r="C57" s="63"/>
      <c r="D57" s="63"/>
      <c r="E57" s="63"/>
      <c r="F57" s="63"/>
      <c r="G57" s="63"/>
      <c r="H57" s="63"/>
      <c r="I57" s="63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ht="14.25" customHeight="1">
      <c r="A58" s="14"/>
      <c r="B58" s="63"/>
      <c r="C58" s="63"/>
      <c r="D58" s="63"/>
      <c r="E58" s="63"/>
      <c r="F58" s="63"/>
      <c r="G58" s="63"/>
      <c r="H58" s="63"/>
      <c r="I58" s="63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 ht="14.25" customHeight="1">
      <c r="A59" s="14"/>
      <c r="B59" s="63"/>
      <c r="C59" s="63"/>
      <c r="D59" s="63"/>
      <c r="E59" s="63"/>
      <c r="F59" s="63"/>
      <c r="G59" s="63"/>
      <c r="H59" s="63"/>
      <c r="I59" s="6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ht="14.25" customHeight="1">
      <c r="A60" s="14"/>
      <c r="B60" s="63"/>
      <c r="C60" s="63"/>
      <c r="D60" s="63"/>
      <c r="E60" s="63"/>
      <c r="F60" s="63"/>
      <c r="G60" s="63"/>
      <c r="H60" s="63"/>
      <c r="I60" s="63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ht="14.25" customHeight="1">
      <c r="A61" s="14"/>
      <c r="B61" s="63"/>
      <c r="C61" s="63"/>
      <c r="D61" s="63"/>
      <c r="E61" s="63"/>
      <c r="F61" s="63"/>
      <c r="G61" s="63"/>
      <c r="H61" s="63"/>
      <c r="I61" s="6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ht="14.25" customHeight="1">
      <c r="A62" s="14"/>
      <c r="B62" s="63"/>
      <c r="C62" s="63"/>
      <c r="D62" s="63"/>
      <c r="E62" s="63"/>
      <c r="F62" s="63"/>
      <c r="G62" s="63"/>
      <c r="H62" s="63"/>
      <c r="I62" s="6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 ht="14.25" customHeight="1">
      <c r="A63" s="14"/>
      <c r="B63" s="63"/>
      <c r="C63" s="63"/>
      <c r="D63" s="63"/>
      <c r="E63" s="63"/>
      <c r="F63" s="63"/>
      <c r="G63" s="63"/>
      <c r="H63" s="63"/>
      <c r="I63" s="6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 ht="14.25" customHeight="1">
      <c r="A64" s="14"/>
      <c r="B64" s="63"/>
      <c r="C64" s="63"/>
      <c r="D64" s="63"/>
      <c r="E64" s="63"/>
      <c r="F64" s="63"/>
      <c r="G64" s="63"/>
      <c r="H64" s="63"/>
      <c r="I64" s="6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ht="14.25" customHeight="1">
      <c r="A65" s="14"/>
      <c r="B65" s="63"/>
      <c r="C65" s="63"/>
      <c r="D65" s="63"/>
      <c r="E65" s="63"/>
      <c r="F65" s="63"/>
      <c r="G65" s="63"/>
      <c r="H65" s="63"/>
      <c r="I65" s="6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ht="14.25" customHeight="1">
      <c r="A66" s="14"/>
      <c r="B66" s="63"/>
      <c r="C66" s="63"/>
      <c r="D66" s="63"/>
      <c r="E66" s="63"/>
      <c r="F66" s="63"/>
      <c r="G66" s="63"/>
      <c r="H66" s="63"/>
      <c r="I66" s="6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ht="14.25" customHeight="1">
      <c r="A67" s="14"/>
      <c r="B67" s="63"/>
      <c r="C67" s="63"/>
      <c r="D67" s="63"/>
      <c r="E67" s="63"/>
      <c r="F67" s="63"/>
      <c r="G67" s="63"/>
      <c r="H67" s="63"/>
      <c r="I67" s="6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 ht="14.25" customHeight="1">
      <c r="A68" s="14"/>
      <c r="B68" s="63"/>
      <c r="C68" s="63"/>
      <c r="D68" s="63"/>
      <c r="E68" s="63"/>
      <c r="F68" s="63"/>
      <c r="G68" s="63"/>
      <c r="H68" s="63"/>
      <c r="I68" s="6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ht="14.25" customHeight="1">
      <c r="A69" s="14"/>
      <c r="B69" s="63"/>
      <c r="C69" s="63"/>
      <c r="D69" s="63"/>
      <c r="E69" s="63"/>
      <c r="F69" s="63"/>
      <c r="G69" s="63"/>
      <c r="H69" s="63"/>
      <c r="I69" s="6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 ht="14.25" customHeight="1">
      <c r="A70" s="14"/>
      <c r="B70" s="63"/>
      <c r="C70" s="63"/>
      <c r="D70" s="63"/>
      <c r="E70" s="63"/>
      <c r="F70" s="63"/>
      <c r="G70" s="63"/>
      <c r="H70" s="63"/>
      <c r="I70" s="6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ht="14.25" customHeight="1">
      <c r="A71" s="14"/>
      <c r="B71" s="63"/>
      <c r="C71" s="63"/>
      <c r="D71" s="63"/>
      <c r="E71" s="63"/>
      <c r="F71" s="63"/>
      <c r="G71" s="63"/>
      <c r="H71" s="63"/>
      <c r="I71" s="6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 ht="14.25" customHeight="1">
      <c r="A72" s="14"/>
      <c r="B72" s="63"/>
      <c r="C72" s="63"/>
      <c r="D72" s="63"/>
      <c r="E72" s="63"/>
      <c r="F72" s="63"/>
      <c r="G72" s="63"/>
      <c r="H72" s="63"/>
      <c r="I72" s="6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ht="14.25" customHeight="1">
      <c r="A73" s="14"/>
      <c r="B73" s="63"/>
      <c r="C73" s="63"/>
      <c r="D73" s="63"/>
      <c r="E73" s="63"/>
      <c r="F73" s="63"/>
      <c r="G73" s="63"/>
      <c r="H73" s="63"/>
      <c r="I73" s="6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ht="12.75" customHeight="1">
      <c r="A74" s="12"/>
      <c r="B74" s="65"/>
      <c r="C74" s="65"/>
      <c r="D74" s="65"/>
      <c r="E74" s="65"/>
      <c r="F74" s="65"/>
      <c r="G74" s="65"/>
      <c r="H74" s="65"/>
      <c r="I74" s="65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</sheetData>
  <mergeCells count="26">
    <mergeCell ref="D10:E10"/>
    <mergeCell ref="D11:E11"/>
    <mergeCell ref="D16:E16"/>
    <mergeCell ref="D17:E17"/>
    <mergeCell ref="D18:E18"/>
    <mergeCell ref="I20:I21"/>
    <mergeCell ref="G22:G23"/>
    <mergeCell ref="D20:D23"/>
    <mergeCell ref="D24:E24"/>
    <mergeCell ref="F24:F25"/>
    <mergeCell ref="G24:G25"/>
    <mergeCell ref="D25:D26"/>
    <mergeCell ref="E26:G26"/>
    <mergeCell ref="D27:E27"/>
    <mergeCell ref="F38:F39"/>
    <mergeCell ref="G38:G39"/>
    <mergeCell ref="D39:D40"/>
    <mergeCell ref="E40:G40"/>
    <mergeCell ref="D41:G41"/>
    <mergeCell ref="D31:E31"/>
    <mergeCell ref="D32:E32"/>
    <mergeCell ref="D34:D37"/>
    <mergeCell ref="I34:I35"/>
    <mergeCell ref="E35:F35"/>
    <mergeCell ref="G36:G37"/>
    <mergeCell ref="D38:E38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</cols>
  <sheetData>
    <row r="2">
      <c r="B2" s="66">
        <v>45096.0</v>
      </c>
      <c r="C2" s="67"/>
      <c r="D2" s="68" t="s">
        <v>154</v>
      </c>
      <c r="E2" s="67"/>
      <c r="F2" s="67"/>
      <c r="G2" s="69"/>
    </row>
    <row r="3">
      <c r="B3" s="48"/>
      <c r="C3" s="7"/>
      <c r="D3" s="2" t="s">
        <v>155</v>
      </c>
      <c r="E3" s="7"/>
      <c r="F3" s="7"/>
      <c r="G3" s="29"/>
    </row>
    <row r="5">
      <c r="B5" s="70"/>
      <c r="C5" s="71" t="s">
        <v>45</v>
      </c>
      <c r="D5" s="71" t="s">
        <v>56</v>
      </c>
      <c r="E5" s="71" t="s">
        <v>12</v>
      </c>
      <c r="F5" s="71" t="s">
        <v>65</v>
      </c>
      <c r="G5" s="71" t="s">
        <v>30</v>
      </c>
    </row>
    <row r="6">
      <c r="B6" s="71" t="s">
        <v>156</v>
      </c>
      <c r="C6" s="70">
        <v>0.6805555555555556</v>
      </c>
      <c r="D6" s="70">
        <v>0.6944444444444444</v>
      </c>
      <c r="E6" s="70">
        <v>0.7083333333333334</v>
      </c>
      <c r="F6" s="70">
        <v>0.7222222222222222</v>
      </c>
      <c r="G6" s="70">
        <v>0.7361111111111112</v>
      </c>
    </row>
    <row r="7">
      <c r="B7" s="70"/>
      <c r="C7" s="70"/>
      <c r="D7" s="72"/>
      <c r="E7" s="72"/>
      <c r="F7" s="72"/>
      <c r="G7" s="72"/>
    </row>
    <row r="8">
      <c r="B8" s="71" t="s">
        <v>157</v>
      </c>
      <c r="C8" s="70">
        <v>0.7222222222222222</v>
      </c>
      <c r="D8" s="70">
        <v>0.7361111111111112</v>
      </c>
      <c r="E8" s="70">
        <v>0.6944444444444444</v>
      </c>
      <c r="F8" s="70">
        <v>0.6805555555555556</v>
      </c>
      <c r="G8" s="70">
        <v>0.7083333333333334</v>
      </c>
    </row>
    <row r="9">
      <c r="B9" s="70"/>
      <c r="C9" s="70"/>
      <c r="D9" s="72"/>
      <c r="E9" s="72"/>
      <c r="F9" s="72"/>
      <c r="G9" s="72"/>
    </row>
    <row r="10">
      <c r="B10" s="71" t="s">
        <v>158</v>
      </c>
      <c r="C10" s="70">
        <v>0.7361111111111112</v>
      </c>
      <c r="D10" s="70">
        <v>0.7222222222222222</v>
      </c>
      <c r="E10" s="70">
        <v>0.6805555555555556</v>
      </c>
      <c r="F10" s="70">
        <v>0.7083333333333334</v>
      </c>
      <c r="G10" s="70">
        <v>0.6944444444444444</v>
      </c>
    </row>
    <row r="11">
      <c r="B11" s="73"/>
      <c r="C11" s="73"/>
    </row>
    <row r="12">
      <c r="B12" s="73"/>
      <c r="C12" s="73"/>
    </row>
    <row r="13">
      <c r="B13" s="66">
        <v>45097.0</v>
      </c>
      <c r="C13" s="67"/>
      <c r="D13" s="68" t="s">
        <v>154</v>
      </c>
      <c r="E13" s="67"/>
      <c r="F13" s="67"/>
      <c r="G13" s="69"/>
    </row>
    <row r="14">
      <c r="B14" s="48"/>
      <c r="C14" s="7"/>
      <c r="D14" s="2" t="s">
        <v>155</v>
      </c>
      <c r="E14" s="7"/>
      <c r="F14" s="7"/>
      <c r="G14" s="29"/>
    </row>
    <row r="16">
      <c r="B16" s="70"/>
      <c r="C16" s="71" t="s">
        <v>45</v>
      </c>
      <c r="D16" s="71" t="s">
        <v>30</v>
      </c>
      <c r="E16" s="71" t="s">
        <v>12</v>
      </c>
      <c r="F16" s="71" t="s">
        <v>65</v>
      </c>
      <c r="G16" s="71" t="s">
        <v>56</v>
      </c>
    </row>
    <row r="17">
      <c r="B17" s="71" t="s">
        <v>156</v>
      </c>
      <c r="C17" s="70">
        <v>0.7222222222222222</v>
      </c>
      <c r="D17" s="70">
        <v>0.7361111111111112</v>
      </c>
      <c r="E17" s="70">
        <v>0.6805555555555556</v>
      </c>
      <c r="F17" s="70">
        <v>0.6944444444444444</v>
      </c>
      <c r="G17" s="70">
        <v>0.7083333333333334</v>
      </c>
    </row>
    <row r="18">
      <c r="B18" s="70"/>
      <c r="C18" s="72"/>
      <c r="D18" s="72"/>
      <c r="E18" s="70"/>
      <c r="F18" s="72"/>
      <c r="G18" s="72"/>
    </row>
    <row r="19">
      <c r="B19" s="71" t="s">
        <v>157</v>
      </c>
      <c r="C19" s="70">
        <v>0.6944444444444444</v>
      </c>
      <c r="D19" s="70">
        <v>0.7083333333333334</v>
      </c>
      <c r="E19" s="70">
        <v>0.7222222222222222</v>
      </c>
      <c r="F19" s="70">
        <v>0.7361111111111112</v>
      </c>
      <c r="G19" s="70">
        <v>0.6805555555555556</v>
      </c>
    </row>
    <row r="20">
      <c r="B20" s="70"/>
      <c r="C20" s="72"/>
      <c r="D20" s="72"/>
      <c r="E20" s="70"/>
      <c r="F20" s="72"/>
      <c r="G20" s="72"/>
    </row>
    <row r="21">
      <c r="B21" s="71" t="s">
        <v>158</v>
      </c>
      <c r="C21" s="70">
        <v>0.7361111111111112</v>
      </c>
      <c r="D21" s="70">
        <v>0.6805555555555556</v>
      </c>
      <c r="E21" s="70">
        <v>0.6944444444444444</v>
      </c>
      <c r="F21" s="70">
        <v>0.7083333333333334</v>
      </c>
      <c r="G21" s="70">
        <v>0.7222222222222222</v>
      </c>
    </row>
    <row r="22">
      <c r="B22" s="73"/>
      <c r="C22" s="73"/>
    </row>
    <row r="23">
      <c r="B23" s="73"/>
    </row>
    <row r="24">
      <c r="B24" s="73"/>
      <c r="C24" s="73"/>
    </row>
  </sheetData>
  <mergeCells count="5">
    <mergeCell ref="D2:G2"/>
    <mergeCell ref="J2:N2"/>
    <mergeCell ref="D3:G3"/>
    <mergeCell ref="D13:G13"/>
    <mergeCell ref="D14:G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E3" s="74" t="s">
        <v>159</v>
      </c>
      <c r="I3" s="74" t="s">
        <v>160</v>
      </c>
      <c r="M3" s="3" t="s">
        <v>161</v>
      </c>
    </row>
    <row r="4">
      <c r="E4" s="75" t="s">
        <v>162</v>
      </c>
      <c r="F4" s="76" t="s">
        <v>163</v>
      </c>
      <c r="G4" s="77" t="s">
        <v>164</v>
      </c>
      <c r="I4" s="75" t="s">
        <v>165</v>
      </c>
      <c r="J4" s="76" t="s">
        <v>166</v>
      </c>
      <c r="K4" s="77" t="s">
        <v>167</v>
      </c>
    </row>
    <row r="5">
      <c r="E5" s="78"/>
      <c r="F5" s="78"/>
      <c r="G5" s="78"/>
      <c r="H5" s="78"/>
      <c r="I5" s="78"/>
      <c r="J5" s="78"/>
      <c r="K5" s="78"/>
    </row>
    <row r="6">
      <c r="A6" s="74" t="s">
        <v>19</v>
      </c>
      <c r="B6" s="74" t="s">
        <v>64</v>
      </c>
      <c r="C6" s="74" t="s">
        <v>168</v>
      </c>
      <c r="E6" s="75">
        <v>5.0</v>
      </c>
      <c r="F6" s="76">
        <v>7.0</v>
      </c>
      <c r="G6" s="77">
        <v>1.0</v>
      </c>
      <c r="I6" s="75">
        <v>5.0</v>
      </c>
      <c r="J6" s="76">
        <v>2.0</v>
      </c>
      <c r="K6" s="77">
        <v>4.0</v>
      </c>
      <c r="M6">
        <f t="shared" ref="M6:M11" si="1">SUM(E6:K6)</f>
        <v>24</v>
      </c>
    </row>
    <row r="7">
      <c r="A7" s="74" t="s">
        <v>69</v>
      </c>
      <c r="B7" s="74" t="s">
        <v>70</v>
      </c>
      <c r="C7" s="74" t="s">
        <v>169</v>
      </c>
      <c r="E7" s="75">
        <v>1.0</v>
      </c>
      <c r="F7" s="76">
        <v>1.0</v>
      </c>
      <c r="G7" s="77">
        <v>0.0</v>
      </c>
      <c r="I7" s="75">
        <v>7.0</v>
      </c>
      <c r="J7" s="76">
        <v>0.0</v>
      </c>
      <c r="K7" s="77">
        <v>0.0</v>
      </c>
      <c r="M7">
        <f t="shared" si="1"/>
        <v>9</v>
      </c>
    </row>
    <row r="8">
      <c r="A8" s="74" t="s">
        <v>73</v>
      </c>
      <c r="B8" s="74" t="s">
        <v>74</v>
      </c>
      <c r="C8" s="74" t="s">
        <v>170</v>
      </c>
      <c r="E8" s="75">
        <v>7.0</v>
      </c>
      <c r="F8" s="76">
        <v>7.0</v>
      </c>
      <c r="G8" s="77">
        <v>0.0</v>
      </c>
      <c r="I8" s="75">
        <v>7.0</v>
      </c>
      <c r="J8" s="76">
        <v>2.0</v>
      </c>
      <c r="K8" s="77">
        <v>0.0</v>
      </c>
      <c r="M8">
        <f t="shared" si="1"/>
        <v>23</v>
      </c>
    </row>
    <row r="9">
      <c r="A9" s="74" t="s">
        <v>77</v>
      </c>
      <c r="B9" s="74" t="s">
        <v>78</v>
      </c>
      <c r="C9" s="74" t="s">
        <v>171</v>
      </c>
      <c r="E9" s="75">
        <v>0.0</v>
      </c>
      <c r="F9" s="76">
        <v>3.0</v>
      </c>
      <c r="G9" s="77">
        <v>0.0</v>
      </c>
      <c r="I9" s="75">
        <v>7.0</v>
      </c>
      <c r="J9" s="76">
        <v>1.0</v>
      </c>
      <c r="K9" s="77">
        <v>5.0</v>
      </c>
      <c r="M9">
        <f t="shared" si="1"/>
        <v>16</v>
      </c>
    </row>
    <row r="10">
      <c r="A10" s="74" t="s">
        <v>79</v>
      </c>
      <c r="B10" s="74" t="s">
        <v>80</v>
      </c>
      <c r="C10" s="74" t="s">
        <v>172</v>
      </c>
      <c r="E10" s="75">
        <v>4.0</v>
      </c>
      <c r="F10" s="76">
        <v>0.0</v>
      </c>
      <c r="G10" s="77">
        <v>0.0</v>
      </c>
      <c r="I10" s="75">
        <v>5.0</v>
      </c>
      <c r="J10" s="76">
        <v>7.0</v>
      </c>
      <c r="K10" s="77">
        <v>0.0</v>
      </c>
      <c r="M10">
        <f t="shared" si="1"/>
        <v>16</v>
      </c>
    </row>
    <row r="11">
      <c r="A11" s="74" t="s">
        <v>81</v>
      </c>
      <c r="B11" s="74" t="s">
        <v>82</v>
      </c>
      <c r="C11" s="74" t="s">
        <v>173</v>
      </c>
      <c r="E11" s="75">
        <v>7.0</v>
      </c>
      <c r="F11" s="76">
        <v>0.0</v>
      </c>
      <c r="G11" s="77">
        <v>0.0</v>
      </c>
      <c r="I11" s="75">
        <v>0.0</v>
      </c>
      <c r="J11" s="76">
        <v>7.0</v>
      </c>
      <c r="K11" s="77">
        <v>0.0</v>
      </c>
      <c r="M11">
        <f t="shared" si="1"/>
        <v>14</v>
      </c>
    </row>
    <row r="12">
      <c r="F12" s="78"/>
      <c r="G12" s="78"/>
      <c r="J12" s="78"/>
      <c r="K12" s="78"/>
    </row>
    <row r="13">
      <c r="A13" s="79" t="s">
        <v>61</v>
      </c>
      <c r="B13" s="79" t="s">
        <v>62</v>
      </c>
      <c r="C13" s="74" t="s">
        <v>174</v>
      </c>
      <c r="E13" s="75">
        <v>4.0</v>
      </c>
      <c r="F13" s="76">
        <v>0.0</v>
      </c>
      <c r="G13" s="77">
        <v>0.0</v>
      </c>
      <c r="I13" s="75">
        <v>4.0</v>
      </c>
      <c r="J13" s="76">
        <v>1.0</v>
      </c>
      <c r="K13" s="77">
        <v>0.0</v>
      </c>
      <c r="M13">
        <f t="shared" ref="M13:M18" si="2">SUM(E13:K13)</f>
        <v>9</v>
      </c>
    </row>
    <row r="14">
      <c r="A14" s="79" t="s">
        <v>48</v>
      </c>
      <c r="B14" s="74" t="s">
        <v>175</v>
      </c>
      <c r="C14" s="74" t="s">
        <v>176</v>
      </c>
      <c r="E14" s="75">
        <v>6.0</v>
      </c>
      <c r="F14" s="76">
        <v>0.0</v>
      </c>
      <c r="G14" s="77">
        <v>1.0</v>
      </c>
      <c r="I14" s="75">
        <v>7.0</v>
      </c>
      <c r="J14" s="76">
        <v>7.0</v>
      </c>
      <c r="K14" s="77">
        <v>0.0</v>
      </c>
      <c r="M14">
        <f t="shared" si="2"/>
        <v>21</v>
      </c>
    </row>
    <row r="15">
      <c r="A15" s="79" t="s">
        <v>57</v>
      </c>
      <c r="B15" s="74" t="s">
        <v>177</v>
      </c>
      <c r="C15" s="74" t="s">
        <v>178</v>
      </c>
      <c r="E15" s="75">
        <v>6.0</v>
      </c>
      <c r="F15" s="76">
        <v>3.0</v>
      </c>
      <c r="G15" s="77">
        <v>0.0</v>
      </c>
      <c r="I15" s="75">
        <v>6.0</v>
      </c>
      <c r="J15" s="76">
        <v>7.0</v>
      </c>
      <c r="K15" s="77">
        <v>1.0</v>
      </c>
      <c r="M15">
        <f t="shared" si="2"/>
        <v>23</v>
      </c>
    </row>
    <row r="16">
      <c r="A16" s="79" t="s">
        <v>43</v>
      </c>
      <c r="B16" s="79" t="s">
        <v>44</v>
      </c>
      <c r="C16" s="74" t="s">
        <v>179</v>
      </c>
      <c r="E16" s="75">
        <v>6.0</v>
      </c>
      <c r="F16" s="76">
        <v>7.0</v>
      </c>
      <c r="G16" s="77">
        <v>0.0</v>
      </c>
      <c r="I16" s="75">
        <v>3.0</v>
      </c>
      <c r="J16" s="76">
        <v>0.0</v>
      </c>
      <c r="K16" s="77">
        <v>0.0</v>
      </c>
      <c r="M16">
        <f t="shared" si="2"/>
        <v>16</v>
      </c>
    </row>
    <row r="17">
      <c r="A17" s="79" t="s">
        <v>67</v>
      </c>
      <c r="B17" s="79" t="s">
        <v>68</v>
      </c>
      <c r="C17" s="74" t="s">
        <v>180</v>
      </c>
      <c r="E17" s="75">
        <v>6.0</v>
      </c>
      <c r="F17" s="76">
        <v>2.0</v>
      </c>
      <c r="G17" s="77">
        <v>0.0</v>
      </c>
      <c r="I17" s="75">
        <v>7.0</v>
      </c>
      <c r="J17" s="76">
        <v>7.0</v>
      </c>
      <c r="K17" s="77">
        <v>3.0</v>
      </c>
      <c r="M17">
        <f t="shared" si="2"/>
        <v>25</v>
      </c>
    </row>
    <row r="18">
      <c r="A18" s="79" t="s">
        <v>52</v>
      </c>
      <c r="B18" s="74" t="s">
        <v>181</v>
      </c>
      <c r="C18" s="74" t="s">
        <v>182</v>
      </c>
      <c r="E18" s="75">
        <v>7.0</v>
      </c>
      <c r="F18" s="76">
        <v>0.0</v>
      </c>
      <c r="G18" s="77">
        <v>1.0</v>
      </c>
      <c r="I18" s="75">
        <v>7.0</v>
      </c>
      <c r="J18" s="76">
        <v>7.0</v>
      </c>
      <c r="K18" s="77">
        <v>0.0</v>
      </c>
      <c r="M18">
        <f t="shared" si="2"/>
        <v>22</v>
      </c>
    </row>
    <row r="19">
      <c r="E19" s="78"/>
      <c r="F19" s="78"/>
      <c r="G19" s="78"/>
      <c r="H19" s="78"/>
      <c r="I19" s="78"/>
      <c r="J19" s="78"/>
      <c r="K19" s="78"/>
    </row>
    <row r="20">
      <c r="A20" s="74" t="s">
        <v>28</v>
      </c>
      <c r="B20" s="74" t="s">
        <v>29</v>
      </c>
      <c r="C20" s="74" t="s">
        <v>183</v>
      </c>
      <c r="E20" s="75">
        <v>6.0</v>
      </c>
      <c r="F20" s="76">
        <v>0.0</v>
      </c>
      <c r="G20" s="77">
        <v>0.0</v>
      </c>
      <c r="I20" s="75">
        <v>6.0</v>
      </c>
      <c r="J20" s="76">
        <v>0.0</v>
      </c>
      <c r="K20" s="77">
        <v>3.0</v>
      </c>
      <c r="M20">
        <f t="shared" ref="M20:M25" si="3">SUM(E20:K20)</f>
        <v>15</v>
      </c>
    </row>
    <row r="21">
      <c r="A21" s="74" t="s">
        <v>32</v>
      </c>
      <c r="B21" s="74" t="s">
        <v>33</v>
      </c>
      <c r="C21" s="74" t="s">
        <v>184</v>
      </c>
      <c r="E21" s="75">
        <v>6.0</v>
      </c>
      <c r="F21" s="76">
        <v>0.0</v>
      </c>
      <c r="G21" s="77">
        <v>0.0</v>
      </c>
      <c r="I21" s="75">
        <v>7.0</v>
      </c>
      <c r="J21" s="76">
        <v>7.0</v>
      </c>
      <c r="K21" s="77">
        <v>0.0</v>
      </c>
      <c r="M21">
        <f t="shared" si="3"/>
        <v>20</v>
      </c>
    </row>
    <row r="22">
      <c r="A22" s="74" t="s">
        <v>38</v>
      </c>
      <c r="B22" s="74" t="s">
        <v>39</v>
      </c>
      <c r="C22" s="74" t="s">
        <v>185</v>
      </c>
      <c r="E22" s="75">
        <v>7.0</v>
      </c>
      <c r="F22" s="76">
        <v>0.0</v>
      </c>
      <c r="G22" s="77">
        <v>0.0</v>
      </c>
      <c r="I22" s="75">
        <v>6.0</v>
      </c>
      <c r="J22" s="76">
        <v>0.0</v>
      </c>
      <c r="K22" s="77">
        <v>0.0</v>
      </c>
      <c r="M22">
        <f t="shared" si="3"/>
        <v>13</v>
      </c>
    </row>
    <row r="23">
      <c r="A23" s="74" t="s">
        <v>28</v>
      </c>
      <c r="B23" s="74" t="s">
        <v>42</v>
      </c>
      <c r="C23" s="74" t="s">
        <v>186</v>
      </c>
      <c r="E23" s="75">
        <v>7.0</v>
      </c>
      <c r="F23" s="76">
        <v>1.0</v>
      </c>
      <c r="G23" s="77">
        <v>0.0</v>
      </c>
      <c r="I23" s="75">
        <v>7.0</v>
      </c>
      <c r="J23" s="76">
        <v>0.0</v>
      </c>
      <c r="K23" s="77">
        <v>0.0</v>
      </c>
      <c r="M23">
        <f t="shared" si="3"/>
        <v>15</v>
      </c>
    </row>
    <row r="24">
      <c r="A24" s="74" t="s">
        <v>46</v>
      </c>
      <c r="B24" s="74" t="s">
        <v>47</v>
      </c>
      <c r="C24" s="74" t="s">
        <v>187</v>
      </c>
      <c r="E24" s="75">
        <v>5.0</v>
      </c>
      <c r="F24" s="76">
        <v>0.0</v>
      </c>
      <c r="G24" s="77">
        <v>1.0</v>
      </c>
      <c r="I24" s="75">
        <v>6.0</v>
      </c>
      <c r="J24" s="76">
        <v>7.0</v>
      </c>
      <c r="K24" s="77">
        <v>0.0</v>
      </c>
      <c r="M24">
        <f t="shared" si="3"/>
        <v>19</v>
      </c>
    </row>
    <row r="25">
      <c r="A25" s="74" t="s">
        <v>50</v>
      </c>
      <c r="B25" s="74" t="s">
        <v>51</v>
      </c>
      <c r="C25" s="74" t="s">
        <v>188</v>
      </c>
      <c r="E25" s="75">
        <v>5.0</v>
      </c>
      <c r="F25" s="76">
        <v>0.0</v>
      </c>
      <c r="G25" s="77">
        <v>0.0</v>
      </c>
      <c r="I25" s="75">
        <v>6.0</v>
      </c>
      <c r="J25" s="76">
        <v>7.0</v>
      </c>
      <c r="K25" s="77">
        <v>0.0</v>
      </c>
      <c r="M25">
        <f t="shared" si="3"/>
        <v>18</v>
      </c>
    </row>
    <row r="26">
      <c r="E26" s="78"/>
      <c r="F26" s="78"/>
      <c r="G26" s="78"/>
      <c r="H26" s="78"/>
      <c r="I26" s="78"/>
      <c r="J26" s="78"/>
      <c r="K26" s="78"/>
    </row>
    <row r="27">
      <c r="A27" s="74" t="s">
        <v>9</v>
      </c>
      <c r="B27" s="74" t="s">
        <v>10</v>
      </c>
      <c r="C27" s="74" t="s">
        <v>189</v>
      </c>
      <c r="E27" s="75">
        <v>7.0</v>
      </c>
      <c r="F27" s="76">
        <v>2.0</v>
      </c>
      <c r="G27" s="77">
        <v>0.0</v>
      </c>
      <c r="I27" s="75">
        <v>7.0</v>
      </c>
      <c r="J27" s="76">
        <v>0.0</v>
      </c>
      <c r="K27" s="77">
        <v>0.0</v>
      </c>
      <c r="M27">
        <f t="shared" ref="M27:M32" si="4">SUM(E27:K27)</f>
        <v>16</v>
      </c>
    </row>
    <row r="28">
      <c r="A28" s="74" t="s">
        <v>14</v>
      </c>
      <c r="B28" s="74" t="s">
        <v>15</v>
      </c>
      <c r="C28" s="74" t="s">
        <v>190</v>
      </c>
      <c r="E28" s="75">
        <v>6.0</v>
      </c>
      <c r="F28" s="76">
        <v>0.0</v>
      </c>
      <c r="G28" s="77">
        <v>1.0</v>
      </c>
      <c r="I28" s="75">
        <v>2.0</v>
      </c>
      <c r="J28" s="76">
        <v>7.0</v>
      </c>
      <c r="K28" s="77">
        <v>0.0</v>
      </c>
      <c r="M28">
        <f t="shared" si="4"/>
        <v>16</v>
      </c>
    </row>
    <row r="29">
      <c r="A29" s="74" t="s">
        <v>17</v>
      </c>
      <c r="B29" s="74" t="s">
        <v>18</v>
      </c>
      <c r="C29" s="74" t="s">
        <v>191</v>
      </c>
      <c r="E29" s="75">
        <v>7.0</v>
      </c>
      <c r="F29" s="76">
        <v>1.0</v>
      </c>
      <c r="G29" s="77">
        <v>0.0</v>
      </c>
      <c r="I29" s="75">
        <v>7.0</v>
      </c>
      <c r="J29" s="76">
        <v>1.0</v>
      </c>
      <c r="K29" s="77">
        <v>0.0</v>
      </c>
      <c r="M29">
        <f t="shared" si="4"/>
        <v>16</v>
      </c>
    </row>
    <row r="30">
      <c r="A30" s="74" t="s">
        <v>19</v>
      </c>
      <c r="B30" s="74" t="s">
        <v>20</v>
      </c>
      <c r="C30" s="74" t="s">
        <v>192</v>
      </c>
      <c r="E30" s="75">
        <v>7.0</v>
      </c>
      <c r="F30" s="76">
        <v>0.0</v>
      </c>
      <c r="G30" s="77">
        <v>0.0</v>
      </c>
      <c r="I30" s="75">
        <v>3.0</v>
      </c>
      <c r="J30" s="76">
        <v>0.0</v>
      </c>
      <c r="K30" s="77">
        <v>2.0</v>
      </c>
      <c r="M30">
        <f t="shared" si="4"/>
        <v>12</v>
      </c>
    </row>
    <row r="31">
      <c r="A31" s="74" t="s">
        <v>25</v>
      </c>
      <c r="B31" s="74" t="s">
        <v>193</v>
      </c>
      <c r="C31" s="74" t="s">
        <v>194</v>
      </c>
      <c r="E31" s="75">
        <v>6.0</v>
      </c>
      <c r="F31" s="76">
        <v>7.0</v>
      </c>
      <c r="G31" s="77">
        <v>1.0</v>
      </c>
      <c r="I31" s="75">
        <v>4.0</v>
      </c>
      <c r="J31" s="76">
        <v>7.0</v>
      </c>
      <c r="K31" s="77">
        <v>0.0</v>
      </c>
      <c r="M31">
        <f t="shared" si="4"/>
        <v>25</v>
      </c>
    </row>
    <row r="32">
      <c r="A32" s="74" t="s">
        <v>23</v>
      </c>
      <c r="B32" s="74" t="s">
        <v>24</v>
      </c>
      <c r="C32" s="74" t="s">
        <v>195</v>
      </c>
      <c r="E32" s="75">
        <v>3.0</v>
      </c>
      <c r="F32" s="76">
        <v>5.0</v>
      </c>
      <c r="G32" s="77">
        <v>4.0</v>
      </c>
      <c r="I32" s="75">
        <v>5.0</v>
      </c>
      <c r="J32" s="76">
        <v>7.0</v>
      </c>
      <c r="K32" s="77">
        <v>4.0</v>
      </c>
      <c r="M32">
        <f t="shared" si="4"/>
        <v>28</v>
      </c>
    </row>
    <row r="33">
      <c r="E33" s="78"/>
      <c r="F33" s="78"/>
      <c r="G33" s="78"/>
      <c r="H33" s="78"/>
      <c r="I33" s="78"/>
      <c r="J33" s="78"/>
      <c r="K33" s="78"/>
    </row>
    <row r="34">
      <c r="A34" s="74" t="s">
        <v>54</v>
      </c>
      <c r="B34" s="74" t="s">
        <v>55</v>
      </c>
      <c r="C34" s="74" t="s">
        <v>196</v>
      </c>
      <c r="E34" s="75">
        <v>6.0</v>
      </c>
      <c r="F34" s="76">
        <v>2.0</v>
      </c>
      <c r="G34" s="77">
        <v>0.0</v>
      </c>
      <c r="I34" s="75">
        <v>5.0</v>
      </c>
      <c r="J34" s="76">
        <v>7.0</v>
      </c>
      <c r="K34" s="77">
        <v>0.0</v>
      </c>
      <c r="M34">
        <f t="shared" ref="M34:M39" si="5">SUM(E34:K34)</f>
        <v>20</v>
      </c>
    </row>
    <row r="35">
      <c r="A35" s="74" t="s">
        <v>59</v>
      </c>
      <c r="B35" s="74" t="s">
        <v>60</v>
      </c>
      <c r="C35" s="74" t="s">
        <v>197</v>
      </c>
      <c r="E35" s="75">
        <v>3.0</v>
      </c>
      <c r="F35" s="76">
        <v>0.0</v>
      </c>
      <c r="G35" s="77">
        <v>0.0</v>
      </c>
      <c r="I35" s="75">
        <v>6.0</v>
      </c>
      <c r="J35" s="76">
        <v>7.0</v>
      </c>
      <c r="K35" s="77">
        <v>0.0</v>
      </c>
      <c r="M35">
        <f t="shared" si="5"/>
        <v>16</v>
      </c>
    </row>
    <row r="36">
      <c r="A36" s="74" t="s">
        <v>83</v>
      </c>
      <c r="B36" s="74" t="s">
        <v>84</v>
      </c>
      <c r="C36" s="74" t="s">
        <v>198</v>
      </c>
      <c r="E36" s="75">
        <v>7.0</v>
      </c>
      <c r="F36" s="76">
        <v>0.0</v>
      </c>
      <c r="G36" s="77">
        <v>0.0</v>
      </c>
      <c r="I36" s="75">
        <v>3.0</v>
      </c>
      <c r="J36" s="76">
        <v>1.0</v>
      </c>
      <c r="K36" s="77">
        <v>0.0</v>
      </c>
      <c r="M36">
        <f t="shared" si="5"/>
        <v>11</v>
      </c>
    </row>
    <row r="37">
      <c r="A37" s="74" t="s">
        <v>85</v>
      </c>
      <c r="B37" s="74" t="s">
        <v>86</v>
      </c>
      <c r="C37" s="74" t="s">
        <v>199</v>
      </c>
      <c r="E37" s="75">
        <v>7.0</v>
      </c>
      <c r="F37" s="76">
        <v>3.0</v>
      </c>
      <c r="G37" s="77">
        <v>0.0</v>
      </c>
      <c r="I37" s="75">
        <v>7.0</v>
      </c>
      <c r="J37" s="76">
        <v>7.0</v>
      </c>
      <c r="K37" s="77">
        <v>3.0</v>
      </c>
      <c r="M37">
        <f t="shared" si="5"/>
        <v>27</v>
      </c>
    </row>
    <row r="38">
      <c r="A38" s="74" t="s">
        <v>92</v>
      </c>
      <c r="B38" s="74" t="s">
        <v>93</v>
      </c>
      <c r="C38" s="74" t="s">
        <v>200</v>
      </c>
      <c r="E38" s="75">
        <v>2.0</v>
      </c>
      <c r="F38" s="76">
        <v>3.0</v>
      </c>
      <c r="G38" s="77">
        <v>7.0</v>
      </c>
      <c r="I38" s="75">
        <v>7.0</v>
      </c>
      <c r="J38" s="76">
        <v>7.0</v>
      </c>
      <c r="K38" s="77">
        <v>0.0</v>
      </c>
      <c r="M38">
        <f t="shared" si="5"/>
        <v>26</v>
      </c>
    </row>
    <row r="39">
      <c r="A39" s="74" t="s">
        <v>54</v>
      </c>
      <c r="B39" s="74" t="s">
        <v>87</v>
      </c>
      <c r="C39" s="74" t="s">
        <v>201</v>
      </c>
      <c r="E39" s="75">
        <v>6.0</v>
      </c>
      <c r="F39" s="76">
        <v>0.0</v>
      </c>
      <c r="G39" s="77">
        <v>7.0</v>
      </c>
      <c r="I39" s="75">
        <v>5.0</v>
      </c>
      <c r="J39" s="76">
        <v>7.0</v>
      </c>
      <c r="K39" s="77">
        <v>0.0</v>
      </c>
      <c r="M39">
        <f t="shared" si="5"/>
        <v>25</v>
      </c>
    </row>
  </sheetData>
  <mergeCells count="2">
    <mergeCell ref="E3:G3"/>
    <mergeCell ref="I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9.5"/>
    <col customWidth="1" min="3" max="3" width="10.38"/>
    <col customWidth="1" min="4" max="4" width="6.0"/>
    <col hidden="1" min="5" max="5" width="12.63"/>
    <col customWidth="1" min="6" max="8" width="8.63"/>
    <col hidden="1" min="9" max="9" width="12.63"/>
    <col customWidth="1" min="10" max="12" width="8.63"/>
    <col hidden="1" min="13" max="13" width="12.63"/>
    <col customWidth="1" min="14" max="14" width="4.75"/>
    <col customWidth="1" min="17" max="17" width="5.0"/>
    <col customWidth="1" min="18" max="18" width="3.75"/>
  </cols>
  <sheetData>
    <row r="1">
      <c r="F1" s="74" t="s">
        <v>159</v>
      </c>
      <c r="J1" s="74" t="s">
        <v>160</v>
      </c>
    </row>
    <row r="2">
      <c r="F2" s="75" t="s">
        <v>162</v>
      </c>
      <c r="G2" s="76" t="s">
        <v>163</v>
      </c>
      <c r="H2" s="77" t="s">
        <v>164</v>
      </c>
      <c r="J2" s="75" t="s">
        <v>165</v>
      </c>
      <c r="K2" s="76" t="s">
        <v>166</v>
      </c>
      <c r="L2" s="77" t="s">
        <v>167</v>
      </c>
      <c r="N2" s="80" t="s">
        <v>202</v>
      </c>
      <c r="O2" s="3" t="s">
        <v>203</v>
      </c>
    </row>
    <row r="3">
      <c r="A3" s="3"/>
      <c r="B3" s="3"/>
      <c r="C3" s="3"/>
      <c r="D3" s="3"/>
      <c r="F3" s="3"/>
      <c r="G3" s="3"/>
      <c r="H3" s="3"/>
    </row>
    <row r="4">
      <c r="A4" s="81">
        <v>1.0</v>
      </c>
      <c r="B4" s="74" t="str">
        <f t="array" ref="B4:N33">SORT({Results!A6:M11;Results!A13:M18;Results!A20:M25;Results!A27:M32;Results!A34:M39},13,FALSE,2,true)</f>
        <v>Jakub</v>
      </c>
      <c r="C4" s="74" t="s">
        <v>24</v>
      </c>
      <c r="D4" s="74" t="s">
        <v>195</v>
      </c>
      <c r="F4" s="75">
        <v>3.0</v>
      </c>
      <c r="G4" s="76">
        <v>5.0</v>
      </c>
      <c r="H4" s="77">
        <v>4.0</v>
      </c>
      <c r="J4" s="82">
        <v>5.0</v>
      </c>
      <c r="K4" s="83">
        <v>7.0</v>
      </c>
      <c r="L4" s="84">
        <v>4.0</v>
      </c>
      <c r="N4" s="85">
        <v>28.0</v>
      </c>
      <c r="O4" s="3" t="s">
        <v>204</v>
      </c>
      <c r="Q4" s="3" t="s">
        <v>205</v>
      </c>
      <c r="R4" s="1">
        <f>SUMIF(D4:D33,"*AUT*",N4:N33)</f>
        <v>102</v>
      </c>
    </row>
    <row r="5">
      <c r="A5" s="81">
        <v>2.0</v>
      </c>
      <c r="B5" s="74" t="s">
        <v>85</v>
      </c>
      <c r="C5" s="74" t="s">
        <v>86</v>
      </c>
      <c r="D5" s="74" t="s">
        <v>199</v>
      </c>
      <c r="F5" s="75">
        <v>7.0</v>
      </c>
      <c r="G5" s="76">
        <v>3.0</v>
      </c>
      <c r="H5" s="77">
        <v>0.0</v>
      </c>
      <c r="J5" s="82">
        <v>7.0</v>
      </c>
      <c r="K5" s="83">
        <v>7.0</v>
      </c>
      <c r="L5" s="84">
        <v>3.0</v>
      </c>
      <c r="N5" s="85">
        <v>27.0</v>
      </c>
      <c r="O5" s="3" t="s">
        <v>204</v>
      </c>
      <c r="Q5" s="3" t="s">
        <v>206</v>
      </c>
      <c r="R5" s="86">
        <f>SUMIF(D4:D33,"*CZE*",N4:N33)</f>
        <v>116</v>
      </c>
    </row>
    <row r="6">
      <c r="A6" s="81">
        <v>3.0</v>
      </c>
      <c r="B6" s="74" t="s">
        <v>92</v>
      </c>
      <c r="C6" s="74" t="s">
        <v>93</v>
      </c>
      <c r="D6" s="74" t="s">
        <v>200</v>
      </c>
      <c r="F6" s="75">
        <v>2.0</v>
      </c>
      <c r="G6" s="76">
        <v>3.0</v>
      </c>
      <c r="H6" s="77">
        <v>7.0</v>
      </c>
      <c r="J6" s="82">
        <v>7.0</v>
      </c>
      <c r="K6" s="83">
        <v>7.0</v>
      </c>
      <c r="L6" s="84">
        <v>0.0</v>
      </c>
      <c r="N6" s="85">
        <v>26.0</v>
      </c>
      <c r="O6" s="3" t="s">
        <v>204</v>
      </c>
      <c r="Q6" s="3" t="s">
        <v>207</v>
      </c>
      <c r="R6" s="1">
        <f>SUMIF(D4:D33,"*POL*",N4:N33)</f>
        <v>100</v>
      </c>
    </row>
    <row r="7">
      <c r="A7" s="81">
        <v>4.0</v>
      </c>
      <c r="B7" s="74" t="s">
        <v>25</v>
      </c>
      <c r="C7" s="74" t="s">
        <v>193</v>
      </c>
      <c r="D7" s="74" t="s">
        <v>194</v>
      </c>
      <c r="F7" s="75">
        <v>6.0</v>
      </c>
      <c r="G7" s="76">
        <v>7.0</v>
      </c>
      <c r="H7" s="77">
        <v>1.0</v>
      </c>
      <c r="J7" s="82">
        <v>4.0</v>
      </c>
      <c r="K7" s="83">
        <v>7.0</v>
      </c>
      <c r="L7" s="84">
        <v>0.0</v>
      </c>
      <c r="N7" s="85">
        <v>25.0</v>
      </c>
      <c r="O7" s="3" t="s">
        <v>208</v>
      </c>
      <c r="Q7" s="3" t="s">
        <v>209</v>
      </c>
      <c r="R7" s="1">
        <f>SUMIF(D4:D33,"*SVK*",N4:N33)</f>
        <v>113</v>
      </c>
    </row>
    <row r="8">
      <c r="A8" s="81"/>
      <c r="B8" s="74" t="s">
        <v>67</v>
      </c>
      <c r="C8" s="74" t="s">
        <v>68</v>
      </c>
      <c r="D8" s="74" t="s">
        <v>180</v>
      </c>
      <c r="F8" s="75">
        <v>6.0</v>
      </c>
      <c r="G8" s="76">
        <v>2.0</v>
      </c>
      <c r="H8" s="77">
        <v>0.0</v>
      </c>
      <c r="J8" s="82">
        <v>7.0</v>
      </c>
      <c r="K8" s="83">
        <v>7.0</v>
      </c>
      <c r="L8" s="84">
        <v>3.0</v>
      </c>
      <c r="N8" s="85">
        <v>25.0</v>
      </c>
      <c r="O8" s="3" t="s">
        <v>208</v>
      </c>
      <c r="Q8" s="3" t="s">
        <v>210</v>
      </c>
      <c r="R8" s="1">
        <f>SUMIF(D4:D33,"*UKR*",N4:N33)</f>
        <v>125</v>
      </c>
    </row>
    <row r="9">
      <c r="A9" s="81"/>
      <c r="B9" s="74" t="s">
        <v>54</v>
      </c>
      <c r="C9" s="74" t="s">
        <v>87</v>
      </c>
      <c r="D9" s="74" t="s">
        <v>201</v>
      </c>
      <c r="F9" s="75">
        <v>6.0</v>
      </c>
      <c r="G9" s="76">
        <v>0.0</v>
      </c>
      <c r="H9" s="77">
        <v>7.0</v>
      </c>
      <c r="J9" s="82">
        <v>5.0</v>
      </c>
      <c r="K9" s="83">
        <v>7.0</v>
      </c>
      <c r="L9" s="84">
        <v>0.0</v>
      </c>
      <c r="N9" s="85">
        <v>25.0</v>
      </c>
      <c r="O9" s="3" t="s">
        <v>208</v>
      </c>
    </row>
    <row r="10">
      <c r="A10" s="81">
        <v>7.0</v>
      </c>
      <c r="B10" s="74" t="s">
        <v>19</v>
      </c>
      <c r="C10" s="74" t="s">
        <v>64</v>
      </c>
      <c r="D10" s="74" t="s">
        <v>168</v>
      </c>
      <c r="F10" s="75">
        <v>5.0</v>
      </c>
      <c r="G10" s="76">
        <v>7.0</v>
      </c>
      <c r="H10" s="77">
        <v>1.0</v>
      </c>
      <c r="J10" s="82">
        <v>5.0</v>
      </c>
      <c r="K10" s="83">
        <v>2.0</v>
      </c>
      <c r="L10" s="84">
        <v>4.0</v>
      </c>
      <c r="N10" s="85">
        <v>24.0</v>
      </c>
      <c r="O10" s="3" t="s">
        <v>208</v>
      </c>
    </row>
    <row r="11">
      <c r="A11" s="81">
        <v>8.0</v>
      </c>
      <c r="B11" s="74" t="s">
        <v>73</v>
      </c>
      <c r="C11" s="74" t="s">
        <v>74</v>
      </c>
      <c r="D11" s="74" t="s">
        <v>170</v>
      </c>
      <c r="F11" s="75">
        <v>7.0</v>
      </c>
      <c r="G11" s="76">
        <v>7.0</v>
      </c>
      <c r="H11" s="77">
        <v>0.0</v>
      </c>
      <c r="J11" s="82">
        <v>7.0</v>
      </c>
      <c r="K11" s="83">
        <v>2.0</v>
      </c>
      <c r="L11" s="84">
        <v>0.0</v>
      </c>
      <c r="N11" s="85">
        <v>23.0</v>
      </c>
      <c r="O11" s="3" t="s">
        <v>211</v>
      </c>
    </row>
    <row r="12">
      <c r="A12" s="81"/>
      <c r="B12" s="74" t="s">
        <v>57</v>
      </c>
      <c r="C12" s="74" t="s">
        <v>177</v>
      </c>
      <c r="D12" s="74" t="s">
        <v>178</v>
      </c>
      <c r="F12" s="75">
        <v>6.0</v>
      </c>
      <c r="G12" s="76">
        <v>3.0</v>
      </c>
      <c r="H12" s="77">
        <v>0.0</v>
      </c>
      <c r="J12" s="82">
        <v>6.0</v>
      </c>
      <c r="K12" s="83">
        <v>7.0</v>
      </c>
      <c r="L12" s="84">
        <v>1.0</v>
      </c>
      <c r="N12" s="85">
        <v>23.0</v>
      </c>
      <c r="O12" s="3" t="s">
        <v>211</v>
      </c>
    </row>
    <row r="13">
      <c r="A13" s="81">
        <v>10.0</v>
      </c>
      <c r="B13" s="74" t="s">
        <v>52</v>
      </c>
      <c r="C13" s="74" t="s">
        <v>181</v>
      </c>
      <c r="D13" s="74" t="s">
        <v>182</v>
      </c>
      <c r="F13" s="75">
        <v>7.0</v>
      </c>
      <c r="G13" s="76">
        <v>0.0</v>
      </c>
      <c r="H13" s="77">
        <v>1.0</v>
      </c>
      <c r="J13" s="82">
        <v>7.0</v>
      </c>
      <c r="K13" s="83">
        <v>7.0</v>
      </c>
      <c r="L13" s="84">
        <v>0.0</v>
      </c>
      <c r="N13" s="85">
        <v>22.0</v>
      </c>
      <c r="O13" s="3" t="s">
        <v>211</v>
      </c>
    </row>
    <row r="14">
      <c r="A14" s="81">
        <v>11.0</v>
      </c>
      <c r="B14" s="74" t="s">
        <v>48</v>
      </c>
      <c r="C14" s="74" t="s">
        <v>175</v>
      </c>
      <c r="D14" s="74" t="s">
        <v>176</v>
      </c>
      <c r="F14" s="75">
        <v>6.0</v>
      </c>
      <c r="G14" s="76">
        <v>0.0</v>
      </c>
      <c r="H14" s="77">
        <v>1.0</v>
      </c>
      <c r="J14" s="82">
        <v>7.0</v>
      </c>
      <c r="K14" s="83">
        <v>7.0</v>
      </c>
      <c r="L14" s="84">
        <v>0.0</v>
      </c>
      <c r="N14" s="85">
        <v>21.0</v>
      </c>
      <c r="O14" s="3" t="s">
        <v>211</v>
      </c>
    </row>
    <row r="15">
      <c r="A15" s="81">
        <v>12.0</v>
      </c>
      <c r="B15" s="74" t="s">
        <v>54</v>
      </c>
      <c r="C15" s="74" t="s">
        <v>55</v>
      </c>
      <c r="D15" s="74" t="s">
        <v>196</v>
      </c>
      <c r="F15" s="75">
        <v>6.0</v>
      </c>
      <c r="G15" s="76">
        <v>2.0</v>
      </c>
      <c r="H15" s="77">
        <v>0.0</v>
      </c>
      <c r="J15" s="82">
        <v>5.0</v>
      </c>
      <c r="K15" s="83">
        <v>7.0</v>
      </c>
      <c r="L15" s="84">
        <v>0.0</v>
      </c>
      <c r="N15" s="85">
        <v>20.0</v>
      </c>
      <c r="O15" s="3" t="s">
        <v>211</v>
      </c>
    </row>
    <row r="16">
      <c r="A16" s="81"/>
      <c r="B16" s="74" t="s">
        <v>32</v>
      </c>
      <c r="C16" s="74" t="s">
        <v>33</v>
      </c>
      <c r="D16" s="74" t="s">
        <v>184</v>
      </c>
      <c r="F16" s="75">
        <v>6.0</v>
      </c>
      <c r="G16" s="76">
        <v>0.0</v>
      </c>
      <c r="H16" s="77">
        <v>0.0</v>
      </c>
      <c r="J16" s="82">
        <v>7.0</v>
      </c>
      <c r="K16" s="83">
        <v>7.0</v>
      </c>
      <c r="L16" s="84">
        <v>0.0</v>
      </c>
      <c r="N16" s="85">
        <v>20.0</v>
      </c>
      <c r="O16" s="3" t="s">
        <v>211</v>
      </c>
    </row>
    <row r="17">
      <c r="A17" s="81">
        <v>14.0</v>
      </c>
      <c r="B17" s="74" t="s">
        <v>46</v>
      </c>
      <c r="C17" s="74" t="s">
        <v>47</v>
      </c>
      <c r="D17" s="74" t="s">
        <v>187</v>
      </c>
      <c r="F17" s="75">
        <v>5.0</v>
      </c>
      <c r="G17" s="76">
        <v>0.0</v>
      </c>
      <c r="H17" s="77">
        <v>1.0</v>
      </c>
      <c r="J17" s="82">
        <v>6.0</v>
      </c>
      <c r="K17" s="83">
        <v>7.0</v>
      </c>
      <c r="L17" s="84">
        <v>0.0</v>
      </c>
      <c r="N17" s="85">
        <v>19.0</v>
      </c>
      <c r="O17" s="3" t="s">
        <v>211</v>
      </c>
    </row>
    <row r="18">
      <c r="A18" s="81">
        <v>15.0</v>
      </c>
      <c r="B18" s="74" t="s">
        <v>50</v>
      </c>
      <c r="C18" s="74" t="s">
        <v>51</v>
      </c>
      <c r="D18" s="74" t="s">
        <v>188</v>
      </c>
      <c r="F18" s="75">
        <v>5.0</v>
      </c>
      <c r="G18" s="76">
        <v>0.0</v>
      </c>
      <c r="H18" s="77">
        <v>0.0</v>
      </c>
      <c r="J18" s="82">
        <v>6.0</v>
      </c>
      <c r="K18" s="83">
        <v>7.0</v>
      </c>
      <c r="L18" s="84">
        <v>0.0</v>
      </c>
      <c r="N18" s="85">
        <v>18.0</v>
      </c>
      <c r="O18" s="3" t="s">
        <v>211</v>
      </c>
    </row>
    <row r="19">
      <c r="A19" s="81">
        <v>16.0</v>
      </c>
      <c r="B19" s="74" t="s">
        <v>9</v>
      </c>
      <c r="C19" s="74" t="s">
        <v>10</v>
      </c>
      <c r="D19" s="74" t="s">
        <v>189</v>
      </c>
      <c r="F19" s="75">
        <v>7.0</v>
      </c>
      <c r="G19" s="76">
        <v>2.0</v>
      </c>
      <c r="H19" s="77">
        <v>0.0</v>
      </c>
      <c r="J19" s="82">
        <v>7.0</v>
      </c>
      <c r="K19" s="83">
        <v>0.0</v>
      </c>
      <c r="L19" s="84">
        <v>0.0</v>
      </c>
      <c r="N19" s="85">
        <v>16.0</v>
      </c>
      <c r="O19" s="3" t="s">
        <v>212</v>
      </c>
    </row>
    <row r="20">
      <c r="A20" s="81"/>
      <c r="B20" s="74" t="s">
        <v>14</v>
      </c>
      <c r="C20" s="74" t="s">
        <v>15</v>
      </c>
      <c r="D20" s="74" t="s">
        <v>190</v>
      </c>
      <c r="F20" s="75">
        <v>6.0</v>
      </c>
      <c r="G20" s="76">
        <v>0.0</v>
      </c>
      <c r="H20" s="77">
        <v>1.0</v>
      </c>
      <c r="J20" s="82">
        <v>2.0</v>
      </c>
      <c r="K20" s="83">
        <v>7.0</v>
      </c>
      <c r="L20" s="84">
        <v>0.0</v>
      </c>
      <c r="N20" s="85">
        <v>16.0</v>
      </c>
      <c r="O20" s="3" t="s">
        <v>212</v>
      </c>
    </row>
    <row r="21">
      <c r="A21" s="81"/>
      <c r="B21" s="74" t="s">
        <v>59</v>
      </c>
      <c r="C21" s="74" t="s">
        <v>60</v>
      </c>
      <c r="D21" s="74" t="s">
        <v>197</v>
      </c>
      <c r="F21" s="75">
        <v>3.0</v>
      </c>
      <c r="G21" s="76">
        <v>0.0</v>
      </c>
      <c r="H21" s="77">
        <v>0.0</v>
      </c>
      <c r="J21" s="82">
        <v>6.0</v>
      </c>
      <c r="K21" s="83">
        <v>7.0</v>
      </c>
      <c r="L21" s="84">
        <v>0.0</v>
      </c>
      <c r="N21" s="85">
        <v>16.0</v>
      </c>
      <c r="O21" s="3" t="s">
        <v>212</v>
      </c>
    </row>
    <row r="22">
      <c r="A22" s="81"/>
      <c r="B22" s="74" t="s">
        <v>17</v>
      </c>
      <c r="C22" s="74" t="s">
        <v>18</v>
      </c>
      <c r="D22" s="74" t="s">
        <v>191</v>
      </c>
      <c r="F22" s="75">
        <v>7.0</v>
      </c>
      <c r="G22" s="76">
        <v>1.0</v>
      </c>
      <c r="H22" s="77">
        <v>0.0</v>
      </c>
      <c r="J22" s="82">
        <v>7.0</v>
      </c>
      <c r="K22" s="83">
        <v>1.0</v>
      </c>
      <c r="L22" s="84">
        <v>0.0</v>
      </c>
      <c r="N22" s="85">
        <v>16.0</v>
      </c>
      <c r="O22" s="3" t="s">
        <v>212</v>
      </c>
    </row>
    <row r="23">
      <c r="A23" s="81"/>
      <c r="B23" s="74" t="s">
        <v>43</v>
      </c>
      <c r="C23" s="74" t="s">
        <v>44</v>
      </c>
      <c r="D23" s="74" t="s">
        <v>179</v>
      </c>
      <c r="F23" s="75">
        <v>6.0</v>
      </c>
      <c r="G23" s="76">
        <v>7.0</v>
      </c>
      <c r="H23" s="77">
        <v>0.0</v>
      </c>
      <c r="J23" s="82">
        <v>3.0</v>
      </c>
      <c r="K23" s="83">
        <v>0.0</v>
      </c>
      <c r="L23" s="84">
        <v>0.0</v>
      </c>
      <c r="N23" s="85">
        <v>16.0</v>
      </c>
      <c r="O23" s="3" t="s">
        <v>212</v>
      </c>
    </row>
    <row r="24">
      <c r="A24" s="81"/>
      <c r="B24" s="74" t="s">
        <v>77</v>
      </c>
      <c r="C24" s="74" t="s">
        <v>78</v>
      </c>
      <c r="D24" s="74" t="s">
        <v>171</v>
      </c>
      <c r="F24" s="75">
        <v>0.0</v>
      </c>
      <c r="G24" s="76">
        <v>3.0</v>
      </c>
      <c r="H24" s="77">
        <v>0.0</v>
      </c>
      <c r="J24" s="82">
        <v>7.0</v>
      </c>
      <c r="K24" s="83">
        <v>1.0</v>
      </c>
      <c r="L24" s="84">
        <v>5.0</v>
      </c>
      <c r="N24" s="85">
        <v>16.0</v>
      </c>
      <c r="O24" s="3" t="s">
        <v>212</v>
      </c>
    </row>
    <row r="25">
      <c r="A25" s="81"/>
      <c r="B25" s="74" t="s">
        <v>79</v>
      </c>
      <c r="C25" s="74" t="s">
        <v>80</v>
      </c>
      <c r="D25" s="74" t="s">
        <v>172</v>
      </c>
      <c r="F25" s="75">
        <v>4.0</v>
      </c>
      <c r="G25" s="76">
        <v>0.0</v>
      </c>
      <c r="H25" s="77">
        <v>0.0</v>
      </c>
      <c r="J25" s="82">
        <v>5.0</v>
      </c>
      <c r="K25" s="83">
        <v>7.0</v>
      </c>
      <c r="L25" s="84">
        <v>0.0</v>
      </c>
      <c r="N25" s="85">
        <v>16.0</v>
      </c>
      <c r="O25" s="3" t="s">
        <v>212</v>
      </c>
    </row>
    <row r="26">
      <c r="A26" s="81">
        <v>23.0</v>
      </c>
      <c r="B26" s="74" t="s">
        <v>28</v>
      </c>
      <c r="C26" s="74" t="s">
        <v>29</v>
      </c>
      <c r="D26" s="74" t="s">
        <v>183</v>
      </c>
      <c r="F26" s="75">
        <v>6.0</v>
      </c>
      <c r="G26" s="76">
        <v>0.0</v>
      </c>
      <c r="H26" s="77">
        <v>0.0</v>
      </c>
      <c r="J26" s="82">
        <v>6.0</v>
      </c>
      <c r="K26" s="83">
        <v>0.0</v>
      </c>
      <c r="L26" s="84">
        <v>3.0</v>
      </c>
      <c r="N26" s="85">
        <v>15.0</v>
      </c>
    </row>
    <row r="27">
      <c r="A27" s="81"/>
      <c r="B27" s="74" t="s">
        <v>28</v>
      </c>
      <c r="C27" s="74" t="s">
        <v>42</v>
      </c>
      <c r="D27" s="74" t="s">
        <v>186</v>
      </c>
      <c r="F27" s="75">
        <v>7.0</v>
      </c>
      <c r="G27" s="76">
        <v>1.0</v>
      </c>
      <c r="H27" s="77">
        <v>0.0</v>
      </c>
      <c r="J27" s="82">
        <v>7.0</v>
      </c>
      <c r="K27" s="83">
        <v>0.0</v>
      </c>
      <c r="L27" s="84">
        <v>0.0</v>
      </c>
      <c r="N27" s="85">
        <v>15.0</v>
      </c>
      <c r="O27" s="3" t="s">
        <v>212</v>
      </c>
    </row>
    <row r="28">
      <c r="A28" s="81">
        <v>25.0</v>
      </c>
      <c r="B28" s="74" t="s">
        <v>81</v>
      </c>
      <c r="C28" s="74" t="s">
        <v>82</v>
      </c>
      <c r="D28" s="74" t="s">
        <v>173</v>
      </c>
      <c r="F28" s="75">
        <v>7.0</v>
      </c>
      <c r="G28" s="76">
        <v>0.0</v>
      </c>
      <c r="H28" s="77">
        <v>0.0</v>
      </c>
      <c r="J28" s="82">
        <v>0.0</v>
      </c>
      <c r="K28" s="83">
        <v>7.0</v>
      </c>
      <c r="L28" s="84">
        <v>0.0</v>
      </c>
      <c r="N28" s="85">
        <v>14.0</v>
      </c>
      <c r="O28" s="3" t="s">
        <v>212</v>
      </c>
    </row>
    <row r="29">
      <c r="A29" s="81">
        <v>26.0</v>
      </c>
      <c r="B29" s="74" t="s">
        <v>38</v>
      </c>
      <c r="C29" s="74" t="s">
        <v>39</v>
      </c>
      <c r="D29" s="74" t="s">
        <v>185</v>
      </c>
      <c r="F29" s="75">
        <v>7.0</v>
      </c>
      <c r="G29" s="76">
        <v>0.0</v>
      </c>
      <c r="H29" s="77">
        <v>0.0</v>
      </c>
      <c r="J29" s="82">
        <v>6.0</v>
      </c>
      <c r="K29" s="83">
        <v>0.0</v>
      </c>
      <c r="L29" s="84">
        <v>0.0</v>
      </c>
      <c r="N29" s="85">
        <v>13.0</v>
      </c>
      <c r="O29" s="3" t="s">
        <v>212</v>
      </c>
    </row>
    <row r="30">
      <c r="A30" s="81">
        <v>27.0</v>
      </c>
      <c r="B30" s="74" t="s">
        <v>19</v>
      </c>
      <c r="C30" s="74" t="s">
        <v>20</v>
      </c>
      <c r="D30" s="74" t="s">
        <v>192</v>
      </c>
      <c r="F30" s="75">
        <v>7.0</v>
      </c>
      <c r="G30" s="76">
        <v>0.0</v>
      </c>
      <c r="H30" s="77">
        <v>0.0</v>
      </c>
      <c r="J30" s="82">
        <v>3.0</v>
      </c>
      <c r="K30" s="83">
        <v>0.0</v>
      </c>
      <c r="L30" s="84">
        <v>2.0</v>
      </c>
      <c r="N30" s="85">
        <v>12.0</v>
      </c>
      <c r="O30" s="3" t="s">
        <v>212</v>
      </c>
    </row>
    <row r="31">
      <c r="A31" s="81">
        <v>28.0</v>
      </c>
      <c r="B31" s="74" t="s">
        <v>83</v>
      </c>
      <c r="C31" s="74" t="s">
        <v>84</v>
      </c>
      <c r="D31" s="74" t="s">
        <v>198</v>
      </c>
      <c r="F31" s="75">
        <v>7.0</v>
      </c>
      <c r="G31" s="76">
        <v>0.0</v>
      </c>
      <c r="H31" s="77">
        <v>0.0</v>
      </c>
      <c r="J31" s="82">
        <v>3.0</v>
      </c>
      <c r="K31" s="83">
        <v>1.0</v>
      </c>
      <c r="L31" s="84">
        <v>0.0</v>
      </c>
      <c r="N31" s="85">
        <v>11.0</v>
      </c>
      <c r="O31" s="3" t="s">
        <v>212</v>
      </c>
    </row>
    <row r="32">
      <c r="A32" s="81">
        <v>29.0</v>
      </c>
      <c r="B32" s="74" t="s">
        <v>69</v>
      </c>
      <c r="C32" s="74" t="s">
        <v>70</v>
      </c>
      <c r="D32" s="74" t="s">
        <v>169</v>
      </c>
      <c r="F32" s="75">
        <v>1.0</v>
      </c>
      <c r="G32" s="76">
        <v>1.0</v>
      </c>
      <c r="H32" s="77">
        <v>0.0</v>
      </c>
      <c r="J32" s="82">
        <v>7.0</v>
      </c>
      <c r="K32" s="83">
        <v>0.0</v>
      </c>
      <c r="L32" s="84">
        <v>0.0</v>
      </c>
      <c r="N32" s="85">
        <v>9.0</v>
      </c>
      <c r="O32" s="3" t="s">
        <v>212</v>
      </c>
    </row>
    <row r="33">
      <c r="A33" s="81"/>
      <c r="B33" s="74" t="s">
        <v>61</v>
      </c>
      <c r="C33" s="74" t="s">
        <v>62</v>
      </c>
      <c r="D33" s="74" t="s">
        <v>174</v>
      </c>
      <c r="F33" s="75">
        <v>4.0</v>
      </c>
      <c r="G33" s="76">
        <v>0.0</v>
      </c>
      <c r="H33" s="77">
        <v>0.0</v>
      </c>
      <c r="J33" s="82">
        <v>4.0</v>
      </c>
      <c r="K33" s="83">
        <v>1.0</v>
      </c>
      <c r="L33" s="84">
        <v>0.0</v>
      </c>
      <c r="N33" s="85">
        <v>9.0</v>
      </c>
    </row>
    <row r="34">
      <c r="A34" s="3"/>
      <c r="B34" s="3"/>
      <c r="C34" s="3"/>
      <c r="D34" s="3"/>
      <c r="F34" s="3">
        <f t="shared" ref="F34:L34" si="1">Round(SUM(F4:F33)/30,2)</f>
        <v>5.4</v>
      </c>
      <c r="G34" s="3">
        <f t="shared" si="1"/>
        <v>1.8</v>
      </c>
      <c r="H34" s="3">
        <f t="shared" si="1"/>
        <v>0.8</v>
      </c>
      <c r="I34" s="3">
        <f t="shared" si="1"/>
        <v>0</v>
      </c>
      <c r="J34" s="3">
        <f t="shared" si="1"/>
        <v>5.47</v>
      </c>
      <c r="K34" s="3">
        <f t="shared" si="1"/>
        <v>4.23</v>
      </c>
      <c r="L34" s="3">
        <f t="shared" si="1"/>
        <v>0.83</v>
      </c>
    </row>
  </sheetData>
  <mergeCells count="2">
    <mergeCell ref="F1:H1"/>
    <mergeCell ref="J1:L1"/>
  </mergeCells>
  <conditionalFormatting sqref="O4:O33">
    <cfRule type="cellIs" dxfId="0" priority="1" operator="equal">
      <formula>"G"</formula>
    </cfRule>
  </conditionalFormatting>
  <conditionalFormatting sqref="O4:O33">
    <cfRule type="cellIs" dxfId="1" priority="2" operator="equal">
      <formula>"S"</formula>
    </cfRule>
  </conditionalFormatting>
  <conditionalFormatting sqref="O4:O33">
    <cfRule type="cellIs" dxfId="2" priority="3" operator="equal">
      <formula>"B"</formula>
    </cfRule>
  </conditionalFormatting>
  <conditionalFormatting sqref="O4:O33">
    <cfRule type="cellIs" dxfId="3" priority="4" operator="equal">
      <formula>"HM"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2.38"/>
    <col customWidth="1" min="3" max="3" width="12.63"/>
    <col customWidth="1" min="4" max="4" width="7.5"/>
    <col customWidth="1" min="5" max="10" width="3.0"/>
    <col customWidth="1" min="11" max="11" width="5.0"/>
    <col customWidth="1" min="12" max="12" width="7.0"/>
    <col customWidth="1" min="14" max="14" width="4.75"/>
    <col customWidth="1" min="17" max="17" width="5.0"/>
    <col customWidth="1" min="18" max="18" width="3.75"/>
  </cols>
  <sheetData>
    <row r="1">
      <c r="A1" s="87" t="s">
        <v>213</v>
      </c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</row>
    <row r="2">
      <c r="A2" s="89" t="s">
        <v>214</v>
      </c>
      <c r="M2" s="88"/>
      <c r="N2" s="90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>
      <c r="A3" s="89" t="s">
        <v>215</v>
      </c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>
      <c r="A4" s="90"/>
      <c r="B4" s="90"/>
      <c r="C4" s="90"/>
      <c r="D4" s="90"/>
      <c r="E4" s="88"/>
      <c r="F4" s="90"/>
      <c r="G4" s="90"/>
      <c r="H4" s="90"/>
      <c r="I4" s="88"/>
      <c r="J4" s="88"/>
      <c r="K4" s="88"/>
      <c r="L4" s="88"/>
      <c r="M4" s="88"/>
      <c r="N4" s="88"/>
      <c r="O4" s="90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>
      <c r="A5" s="91" t="s">
        <v>216</v>
      </c>
      <c r="B5" s="92" t="s">
        <v>217</v>
      </c>
      <c r="C5" s="93"/>
      <c r="D5" s="94" t="s">
        <v>218</v>
      </c>
      <c r="E5" s="95" t="s">
        <v>219</v>
      </c>
      <c r="F5" s="94" t="s">
        <v>220</v>
      </c>
      <c r="G5" s="94" t="s">
        <v>221</v>
      </c>
      <c r="H5" s="94" t="s">
        <v>222</v>
      </c>
      <c r="I5" s="96" t="s">
        <v>223</v>
      </c>
      <c r="J5" s="97" t="s">
        <v>224</v>
      </c>
      <c r="K5" s="98" t="s">
        <v>225</v>
      </c>
      <c r="L5" s="99" t="s">
        <v>203</v>
      </c>
      <c r="M5" s="88"/>
      <c r="N5" s="88"/>
      <c r="O5" s="90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</row>
    <row r="6">
      <c r="A6" s="100">
        <f>'Results sorted'!A4</f>
        <v>1</v>
      </c>
      <c r="B6" s="101" t="str">
        <f>'Results sorted'!B4</f>
        <v>Jakub</v>
      </c>
      <c r="C6" s="102" t="str">
        <f>'Results sorted'!C4</f>
        <v>Šošovička</v>
      </c>
      <c r="D6" s="101" t="str">
        <f>left('Results sorted'!D4,3)</f>
        <v>SVK</v>
      </c>
      <c r="E6" s="103">
        <f>'Results sorted'!F4</f>
        <v>3</v>
      </c>
      <c r="F6" s="101">
        <f>'Results sorted'!G4</f>
        <v>5</v>
      </c>
      <c r="G6" s="101">
        <f>'Results sorted'!H4</f>
        <v>4</v>
      </c>
      <c r="H6" s="101">
        <f>'Results sorted'!J4</f>
        <v>5</v>
      </c>
      <c r="I6" s="104">
        <f>'Results sorted'!K4</f>
        <v>7</v>
      </c>
      <c r="J6" s="105">
        <f>'Results sorted'!L4</f>
        <v>4</v>
      </c>
      <c r="K6" s="106">
        <f t="shared" ref="K6:K35" si="1">SUM(E6:J6)</f>
        <v>28</v>
      </c>
      <c r="L6" s="107" t="str">
        <f>'Results sorted'!O4</f>
        <v>G</v>
      </c>
      <c r="M6" s="88"/>
      <c r="N6" s="88"/>
      <c r="O6" s="90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</row>
    <row r="7">
      <c r="A7" s="108">
        <f>'Results sorted'!A5</f>
        <v>2</v>
      </c>
      <c r="B7" s="94" t="str">
        <f>'Results sorted'!B5</f>
        <v>Daniil</v>
      </c>
      <c r="C7" s="109" t="str">
        <f>'Results sorted'!C5</f>
        <v>Shvaiko</v>
      </c>
      <c r="D7" s="94" t="str">
        <f>left('Results sorted'!D5,3)</f>
        <v>UKR</v>
      </c>
      <c r="E7" s="95">
        <f>'Results sorted'!F5</f>
        <v>7</v>
      </c>
      <c r="F7" s="94">
        <f>'Results sorted'!G5</f>
        <v>3</v>
      </c>
      <c r="G7" s="94">
        <f>'Results sorted'!H5</f>
        <v>0</v>
      </c>
      <c r="H7" s="94">
        <f>'Results sorted'!J5</f>
        <v>7</v>
      </c>
      <c r="I7" s="96">
        <f>'Results sorted'!K5</f>
        <v>7</v>
      </c>
      <c r="J7" s="97">
        <f>'Results sorted'!L5</f>
        <v>3</v>
      </c>
      <c r="K7" s="98">
        <f t="shared" si="1"/>
        <v>27</v>
      </c>
      <c r="L7" s="110" t="str">
        <f>'Results sorted'!O5</f>
        <v>G</v>
      </c>
      <c r="M7" s="88"/>
      <c r="N7" s="88"/>
      <c r="O7" s="90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</row>
    <row r="8">
      <c r="A8" s="111">
        <f>'Results sorted'!A6</f>
        <v>3</v>
      </c>
      <c r="B8" s="112" t="str">
        <f>'Results sorted'!B6</f>
        <v>Maryna</v>
      </c>
      <c r="C8" s="113" t="str">
        <f>'Results sorted'!C6</f>
        <v>Spektrova</v>
      </c>
      <c r="D8" s="112" t="str">
        <f>left('Results sorted'!D6,3)</f>
        <v>UKR</v>
      </c>
      <c r="E8" s="114">
        <f>'Results sorted'!F6</f>
        <v>2</v>
      </c>
      <c r="F8" s="112">
        <f>'Results sorted'!G6</f>
        <v>3</v>
      </c>
      <c r="G8" s="112">
        <f>'Results sorted'!H6</f>
        <v>7</v>
      </c>
      <c r="H8" s="112">
        <f>'Results sorted'!J6</f>
        <v>7</v>
      </c>
      <c r="I8" s="115">
        <f>'Results sorted'!K6</f>
        <v>7</v>
      </c>
      <c r="J8" s="116">
        <f>'Results sorted'!L6</f>
        <v>0</v>
      </c>
      <c r="K8" s="117">
        <f t="shared" si="1"/>
        <v>26</v>
      </c>
      <c r="L8" s="118" t="str">
        <f>'Results sorted'!O6</f>
        <v>G</v>
      </c>
      <c r="M8" s="88"/>
      <c r="N8" s="88"/>
      <c r="O8" s="90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</row>
    <row r="9">
      <c r="A9" s="100">
        <f>'Results sorted'!A7</f>
        <v>4</v>
      </c>
      <c r="B9" s="94" t="str">
        <f>'Results sorted'!B7</f>
        <v>Eliška </v>
      </c>
      <c r="C9" s="109" t="str">
        <f>'Results sorted'!C7</f>
        <v>Macáková</v>
      </c>
      <c r="D9" s="119" t="str">
        <f>left('Results sorted'!D7,3)</f>
        <v>SVK</v>
      </c>
      <c r="E9" s="95">
        <f>'Results sorted'!F7</f>
        <v>6</v>
      </c>
      <c r="F9" s="94">
        <f>'Results sorted'!G7</f>
        <v>7</v>
      </c>
      <c r="G9" s="94">
        <f>'Results sorted'!H7</f>
        <v>1</v>
      </c>
      <c r="H9" s="94">
        <f>'Results sorted'!J7</f>
        <v>4</v>
      </c>
      <c r="I9" s="96">
        <f>'Results sorted'!K7</f>
        <v>7</v>
      </c>
      <c r="J9" s="97">
        <f>'Results sorted'!L7</f>
        <v>0</v>
      </c>
      <c r="K9" s="120">
        <f t="shared" si="1"/>
        <v>25</v>
      </c>
      <c r="L9" s="121" t="str">
        <f>'Results sorted'!O7</f>
        <v>S</v>
      </c>
      <c r="M9" s="88"/>
      <c r="N9" s="88"/>
      <c r="O9" s="90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</row>
    <row r="10">
      <c r="A10" s="108" t="str">
        <f>'Results sorted'!A8</f>
        <v/>
      </c>
      <c r="B10" s="94" t="str">
        <f>'Results sorted'!B8</f>
        <v>Samuel</v>
      </c>
      <c r="C10" s="109" t="str">
        <f>'Results sorted'!C8</f>
        <v>Rosiar</v>
      </c>
      <c r="D10" s="119" t="str">
        <f>left('Results sorted'!D8,3)</f>
        <v>CZE</v>
      </c>
      <c r="E10" s="95">
        <f>'Results sorted'!F8</f>
        <v>6</v>
      </c>
      <c r="F10" s="94">
        <f>'Results sorted'!G8</f>
        <v>2</v>
      </c>
      <c r="G10" s="94">
        <f>'Results sorted'!H8</f>
        <v>0</v>
      </c>
      <c r="H10" s="94">
        <f>'Results sorted'!J8</f>
        <v>7</v>
      </c>
      <c r="I10" s="96">
        <f>'Results sorted'!K8</f>
        <v>7</v>
      </c>
      <c r="J10" s="97">
        <f>'Results sorted'!L8</f>
        <v>3</v>
      </c>
      <c r="K10" s="120">
        <f t="shared" si="1"/>
        <v>25</v>
      </c>
      <c r="L10" s="121" t="str">
        <f>'Results sorted'!O8</f>
        <v>S</v>
      </c>
      <c r="M10" s="88"/>
      <c r="N10" s="88"/>
      <c r="O10" s="90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</row>
    <row r="11">
      <c r="A11" s="108" t="str">
        <f>'Results sorted'!A9</f>
        <v/>
      </c>
      <c r="B11" s="94" t="str">
        <f>'Results sorted'!B9</f>
        <v>Mykhailo</v>
      </c>
      <c r="C11" s="109" t="str">
        <f>'Results sorted'!C9</f>
        <v>Sydorenko</v>
      </c>
      <c r="D11" s="119" t="str">
        <f>left('Results sorted'!D9,3)</f>
        <v>UKR</v>
      </c>
      <c r="E11" s="95">
        <f>'Results sorted'!F9</f>
        <v>6</v>
      </c>
      <c r="F11" s="94">
        <f>'Results sorted'!G9</f>
        <v>0</v>
      </c>
      <c r="G11" s="94">
        <f>'Results sorted'!H9</f>
        <v>7</v>
      </c>
      <c r="H11" s="94">
        <f>'Results sorted'!J9</f>
        <v>5</v>
      </c>
      <c r="I11" s="96">
        <f>'Results sorted'!K9</f>
        <v>7</v>
      </c>
      <c r="J11" s="97">
        <f>'Results sorted'!L9</f>
        <v>0</v>
      </c>
      <c r="K11" s="120">
        <f t="shared" si="1"/>
        <v>25</v>
      </c>
      <c r="L11" s="121" t="str">
        <f>'Results sorted'!O9</f>
        <v>S</v>
      </c>
      <c r="M11" s="88"/>
      <c r="N11" s="88"/>
      <c r="O11" s="90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</row>
    <row r="12">
      <c r="A12" s="111">
        <f>'Results sorted'!A10</f>
        <v>7</v>
      </c>
      <c r="B12" s="112" t="str">
        <f>'Results sorted'!B10</f>
        <v>Martin </v>
      </c>
      <c r="C12" s="113" t="str">
        <f>'Results sorted'!C10</f>
        <v>Bierbaumer</v>
      </c>
      <c r="D12" s="122" t="str">
        <f>left('Results sorted'!D10,3)</f>
        <v>AUT</v>
      </c>
      <c r="E12" s="114">
        <f>'Results sorted'!F10</f>
        <v>5</v>
      </c>
      <c r="F12" s="112">
        <f>'Results sorted'!G10</f>
        <v>7</v>
      </c>
      <c r="G12" s="112">
        <f>'Results sorted'!H10</f>
        <v>1</v>
      </c>
      <c r="H12" s="112">
        <f>'Results sorted'!J10</f>
        <v>5</v>
      </c>
      <c r="I12" s="115">
        <f>'Results sorted'!K10</f>
        <v>2</v>
      </c>
      <c r="J12" s="116">
        <f>'Results sorted'!L10</f>
        <v>4</v>
      </c>
      <c r="K12" s="123">
        <f t="shared" si="1"/>
        <v>24</v>
      </c>
      <c r="L12" s="124" t="str">
        <f>'Results sorted'!O10</f>
        <v>S</v>
      </c>
      <c r="M12" s="88"/>
      <c r="N12" s="88"/>
      <c r="O12" s="90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</row>
    <row r="13">
      <c r="A13" s="100">
        <f>'Results sorted'!A11</f>
        <v>8</v>
      </c>
      <c r="B13" s="101" t="str">
        <f>'Results sorted'!B11</f>
        <v>Paul</v>
      </c>
      <c r="C13" s="102" t="str">
        <f>'Results sorted'!C11</f>
        <v>Hametner</v>
      </c>
      <c r="D13" s="125" t="str">
        <f>left('Results sorted'!D11,3)</f>
        <v>AUT</v>
      </c>
      <c r="E13" s="103">
        <f>'Results sorted'!F11</f>
        <v>7</v>
      </c>
      <c r="F13" s="101">
        <f>'Results sorted'!G11</f>
        <v>7</v>
      </c>
      <c r="G13" s="101">
        <f>'Results sorted'!H11</f>
        <v>0</v>
      </c>
      <c r="H13" s="101">
        <f>'Results sorted'!J11</f>
        <v>7</v>
      </c>
      <c r="I13" s="104">
        <f>'Results sorted'!K11</f>
        <v>2</v>
      </c>
      <c r="J13" s="105">
        <f>'Results sorted'!L11</f>
        <v>0</v>
      </c>
      <c r="K13" s="126">
        <f t="shared" si="1"/>
        <v>23</v>
      </c>
      <c r="L13" s="127" t="str">
        <f>'Results sorted'!O11</f>
        <v>B</v>
      </c>
      <c r="M13" s="88"/>
      <c r="N13" s="88"/>
      <c r="O13" s="90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</row>
    <row r="14">
      <c r="A14" s="108" t="str">
        <f>'Results sorted'!A12</f>
        <v/>
      </c>
      <c r="B14" s="94" t="str">
        <f>'Results sorted'!B12</f>
        <v>Erik </v>
      </c>
      <c r="C14" s="109" t="str">
        <f>'Results sorted'!C12</f>
        <v>Ježek</v>
      </c>
      <c r="D14" s="119" t="str">
        <f>left('Results sorted'!D12,3)</f>
        <v>CZE</v>
      </c>
      <c r="E14" s="95">
        <f>'Results sorted'!F12</f>
        <v>6</v>
      </c>
      <c r="F14" s="94">
        <f>'Results sorted'!G12</f>
        <v>3</v>
      </c>
      <c r="G14" s="94">
        <f>'Results sorted'!H12</f>
        <v>0</v>
      </c>
      <c r="H14" s="94">
        <f>'Results sorted'!J12</f>
        <v>6</v>
      </c>
      <c r="I14" s="96">
        <f>'Results sorted'!K12</f>
        <v>7</v>
      </c>
      <c r="J14" s="97">
        <f>'Results sorted'!L12</f>
        <v>1</v>
      </c>
      <c r="K14" s="120">
        <f t="shared" si="1"/>
        <v>23</v>
      </c>
      <c r="L14" s="128" t="str">
        <f>'Results sorted'!O12</f>
        <v>B</v>
      </c>
      <c r="M14" s="88"/>
      <c r="N14" s="88"/>
      <c r="O14" s="90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</row>
    <row r="15">
      <c r="A15" s="108">
        <f>'Results sorted'!A13</f>
        <v>10</v>
      </c>
      <c r="B15" s="94" t="str">
        <f>'Results sorted'!B13</f>
        <v>Jakub </v>
      </c>
      <c r="C15" s="109" t="str">
        <f>'Results sorted'!C13</f>
        <v>Štepo</v>
      </c>
      <c r="D15" s="119" t="str">
        <f>left('Results sorted'!D13,3)</f>
        <v>CZE</v>
      </c>
      <c r="E15" s="95">
        <f>'Results sorted'!F13</f>
        <v>7</v>
      </c>
      <c r="F15" s="94">
        <f>'Results sorted'!G13</f>
        <v>0</v>
      </c>
      <c r="G15" s="94">
        <f>'Results sorted'!H13</f>
        <v>1</v>
      </c>
      <c r="H15" s="94">
        <f>'Results sorted'!J13</f>
        <v>7</v>
      </c>
      <c r="I15" s="96">
        <f>'Results sorted'!K13</f>
        <v>7</v>
      </c>
      <c r="J15" s="97">
        <f>'Results sorted'!L13</f>
        <v>0</v>
      </c>
      <c r="K15" s="120">
        <f t="shared" si="1"/>
        <v>22</v>
      </c>
      <c r="L15" s="128" t="str">
        <f>'Results sorted'!O13</f>
        <v>B</v>
      </c>
      <c r="M15" s="88"/>
      <c r="N15" s="88"/>
      <c r="O15" s="90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</row>
    <row r="16">
      <c r="A16" s="108">
        <f>'Results sorted'!A14</f>
        <v>11</v>
      </c>
      <c r="B16" s="94" t="str">
        <f>'Results sorted'!B14</f>
        <v>Michal </v>
      </c>
      <c r="C16" s="109" t="str">
        <f>'Results sorted'!C14</f>
        <v>Janík</v>
      </c>
      <c r="D16" s="119" t="str">
        <f>left('Results sorted'!D14,3)</f>
        <v>CZE</v>
      </c>
      <c r="E16" s="95">
        <f>'Results sorted'!F14</f>
        <v>6</v>
      </c>
      <c r="F16" s="94">
        <f>'Results sorted'!G14</f>
        <v>0</v>
      </c>
      <c r="G16" s="94">
        <f>'Results sorted'!H14</f>
        <v>1</v>
      </c>
      <c r="H16" s="94">
        <f>'Results sorted'!J14</f>
        <v>7</v>
      </c>
      <c r="I16" s="96">
        <f>'Results sorted'!K14</f>
        <v>7</v>
      </c>
      <c r="J16" s="97">
        <f>'Results sorted'!L14</f>
        <v>0</v>
      </c>
      <c r="K16" s="120">
        <f t="shared" si="1"/>
        <v>21</v>
      </c>
      <c r="L16" s="128" t="str">
        <f>'Results sorted'!O14</f>
        <v>B</v>
      </c>
      <c r="M16" s="88"/>
      <c r="N16" s="88"/>
      <c r="O16" s="90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</row>
    <row r="17">
      <c r="A17" s="108">
        <f>'Results sorted'!A15</f>
        <v>12</v>
      </c>
      <c r="B17" s="94" t="str">
        <f>'Results sorted'!B15</f>
        <v>Mykhailo</v>
      </c>
      <c r="C17" s="109" t="str">
        <f>'Results sorted'!C15</f>
        <v>Barkulov</v>
      </c>
      <c r="D17" s="119" t="str">
        <f>left('Results sorted'!D15,3)</f>
        <v>UKR</v>
      </c>
      <c r="E17" s="95">
        <f>'Results sorted'!F15</f>
        <v>6</v>
      </c>
      <c r="F17" s="94">
        <f>'Results sorted'!G15</f>
        <v>2</v>
      </c>
      <c r="G17" s="94">
        <f>'Results sorted'!H15</f>
        <v>0</v>
      </c>
      <c r="H17" s="94">
        <f>'Results sorted'!J15</f>
        <v>5</v>
      </c>
      <c r="I17" s="96">
        <f>'Results sorted'!K15</f>
        <v>7</v>
      </c>
      <c r="J17" s="97">
        <f>'Results sorted'!L15</f>
        <v>0</v>
      </c>
      <c r="K17" s="120">
        <f t="shared" si="1"/>
        <v>20</v>
      </c>
      <c r="L17" s="128" t="str">
        <f>'Results sorted'!O15</f>
        <v>B</v>
      </c>
      <c r="M17" s="88"/>
      <c r="N17" s="88"/>
      <c r="O17" s="90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</row>
    <row r="18">
      <c r="A18" s="108" t="str">
        <f>'Results sorted'!A16</f>
        <v/>
      </c>
      <c r="B18" s="94" t="str">
        <f>'Results sorted'!B16</f>
        <v>Robert</v>
      </c>
      <c r="C18" s="109" t="str">
        <f>'Results sorted'!C16</f>
        <v>Kluszczyński</v>
      </c>
      <c r="D18" s="119" t="str">
        <f>left('Results sorted'!D16,3)</f>
        <v>POL</v>
      </c>
      <c r="E18" s="95">
        <f>'Results sorted'!F16</f>
        <v>6</v>
      </c>
      <c r="F18" s="94">
        <f>'Results sorted'!G16</f>
        <v>0</v>
      </c>
      <c r="G18" s="94">
        <f>'Results sorted'!H16</f>
        <v>0</v>
      </c>
      <c r="H18" s="94">
        <f>'Results sorted'!J16</f>
        <v>7</v>
      </c>
      <c r="I18" s="96">
        <f>'Results sorted'!K16</f>
        <v>7</v>
      </c>
      <c r="J18" s="97">
        <f>'Results sorted'!L16</f>
        <v>0</v>
      </c>
      <c r="K18" s="120">
        <f t="shared" si="1"/>
        <v>20</v>
      </c>
      <c r="L18" s="128" t="str">
        <f>'Results sorted'!O16</f>
        <v>B</v>
      </c>
      <c r="M18" s="88"/>
      <c r="N18" s="88"/>
      <c r="O18" s="90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</row>
    <row r="19">
      <c r="A19" s="108">
        <f>'Results sorted'!A17</f>
        <v>14</v>
      </c>
      <c r="B19" s="94" t="str">
        <f>'Results sorted'!B17</f>
        <v>Miłosz</v>
      </c>
      <c r="C19" s="109" t="str">
        <f>'Results sorted'!C17</f>
        <v>Płatek</v>
      </c>
      <c r="D19" s="119" t="str">
        <f>left('Results sorted'!D17,3)</f>
        <v>POL</v>
      </c>
      <c r="E19" s="95">
        <f>'Results sorted'!F17</f>
        <v>5</v>
      </c>
      <c r="F19" s="94">
        <f>'Results sorted'!G17</f>
        <v>0</v>
      </c>
      <c r="G19" s="94">
        <f>'Results sorted'!H17</f>
        <v>1</v>
      </c>
      <c r="H19" s="94">
        <f>'Results sorted'!J17</f>
        <v>6</v>
      </c>
      <c r="I19" s="96">
        <f>'Results sorted'!K17</f>
        <v>7</v>
      </c>
      <c r="J19" s="97">
        <f>'Results sorted'!L17</f>
        <v>0</v>
      </c>
      <c r="K19" s="120">
        <f t="shared" si="1"/>
        <v>19</v>
      </c>
      <c r="L19" s="128" t="str">
        <f>'Results sorted'!O17</f>
        <v>B</v>
      </c>
      <c r="M19" s="88"/>
      <c r="N19" s="88"/>
      <c r="O19" s="90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</row>
    <row r="20">
      <c r="A20" s="111">
        <f>'Results sorted'!A18</f>
        <v>15</v>
      </c>
      <c r="B20" s="112" t="str">
        <f>'Results sorted'!B18</f>
        <v>Patryk</v>
      </c>
      <c r="C20" s="113" t="str">
        <f>'Results sorted'!C18</f>
        <v>Rosół</v>
      </c>
      <c r="D20" s="122" t="str">
        <f>left('Results sorted'!D18,3)</f>
        <v>POL</v>
      </c>
      <c r="E20" s="114">
        <f>'Results sorted'!F18</f>
        <v>5</v>
      </c>
      <c r="F20" s="112">
        <f>'Results sorted'!G18</f>
        <v>0</v>
      </c>
      <c r="G20" s="112">
        <f>'Results sorted'!H18</f>
        <v>0</v>
      </c>
      <c r="H20" s="112">
        <f>'Results sorted'!J18</f>
        <v>6</v>
      </c>
      <c r="I20" s="115">
        <f>'Results sorted'!K18</f>
        <v>7</v>
      </c>
      <c r="J20" s="116">
        <f>'Results sorted'!L18</f>
        <v>0</v>
      </c>
      <c r="K20" s="123">
        <f t="shared" si="1"/>
        <v>18</v>
      </c>
      <c r="L20" s="129" t="str">
        <f>'Results sorted'!O18</f>
        <v>B</v>
      </c>
      <c r="M20" s="88"/>
      <c r="N20" s="88"/>
      <c r="O20" s="90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</row>
    <row r="21">
      <c r="A21" s="100">
        <f>'Results sorted'!A19</f>
        <v>16</v>
      </c>
      <c r="B21" s="101" t="str">
        <f>'Results sorted'!B19</f>
        <v>Matej</v>
      </c>
      <c r="C21" s="102" t="str">
        <f>'Results sorted'!C19</f>
        <v>Bachniček</v>
      </c>
      <c r="D21" s="125" t="str">
        <f>left('Results sorted'!D19,3)</f>
        <v>SVK</v>
      </c>
      <c r="E21" s="103">
        <f>'Results sorted'!F19</f>
        <v>7</v>
      </c>
      <c r="F21" s="101">
        <f>'Results sorted'!G19</f>
        <v>2</v>
      </c>
      <c r="G21" s="101">
        <f>'Results sorted'!H19</f>
        <v>0</v>
      </c>
      <c r="H21" s="101">
        <f>'Results sorted'!J19</f>
        <v>7</v>
      </c>
      <c r="I21" s="104">
        <f>'Results sorted'!K19</f>
        <v>0</v>
      </c>
      <c r="J21" s="105">
        <f>'Results sorted'!L19</f>
        <v>0</v>
      </c>
      <c r="K21" s="126">
        <f t="shared" si="1"/>
        <v>16</v>
      </c>
      <c r="L21" s="130" t="str">
        <f>'Results sorted'!O19</f>
        <v>HM</v>
      </c>
      <c r="M21" s="88"/>
      <c r="N21" s="88"/>
      <c r="O21" s="90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</row>
    <row r="22">
      <c r="A22" s="108" t="str">
        <f>'Results sorted'!A20</f>
        <v/>
      </c>
      <c r="B22" s="94" t="str">
        <f>'Results sorted'!B20</f>
        <v>Lucia</v>
      </c>
      <c r="C22" s="109" t="str">
        <f>'Results sorted'!C20</f>
        <v>Chladná   </v>
      </c>
      <c r="D22" s="119" t="str">
        <f>left('Results sorted'!D20,3)</f>
        <v>SVK</v>
      </c>
      <c r="E22" s="95">
        <f>'Results sorted'!F20</f>
        <v>6</v>
      </c>
      <c r="F22" s="94">
        <f>'Results sorted'!G20</f>
        <v>0</v>
      </c>
      <c r="G22" s="94">
        <f>'Results sorted'!H20</f>
        <v>1</v>
      </c>
      <c r="H22" s="94">
        <f>'Results sorted'!J20</f>
        <v>2</v>
      </c>
      <c r="I22" s="96">
        <f>'Results sorted'!K20</f>
        <v>7</v>
      </c>
      <c r="J22" s="97">
        <f>'Results sorted'!L20</f>
        <v>0</v>
      </c>
      <c r="K22" s="120">
        <f t="shared" si="1"/>
        <v>16</v>
      </c>
      <c r="L22" s="131" t="str">
        <f>'Results sorted'!O20</f>
        <v>HM</v>
      </c>
      <c r="M22" s="88"/>
      <c r="N22" s="88"/>
      <c r="O22" s="90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</row>
    <row r="23">
      <c r="A23" s="108" t="str">
        <f>'Results sorted'!A21</f>
        <v/>
      </c>
      <c r="B23" s="94" t="str">
        <f>'Results sorted'!B21</f>
        <v>Denys</v>
      </c>
      <c r="C23" s="109" t="str">
        <f>'Results sorted'!C21</f>
        <v>Hafych</v>
      </c>
      <c r="D23" s="119" t="str">
        <f>left('Results sorted'!D21,3)</f>
        <v>UKR</v>
      </c>
      <c r="E23" s="95">
        <f>'Results sorted'!F21</f>
        <v>3</v>
      </c>
      <c r="F23" s="94">
        <f>'Results sorted'!G21</f>
        <v>0</v>
      </c>
      <c r="G23" s="94">
        <f>'Results sorted'!H21</f>
        <v>0</v>
      </c>
      <c r="H23" s="94">
        <f>'Results sorted'!J21</f>
        <v>6</v>
      </c>
      <c r="I23" s="96">
        <f>'Results sorted'!K21</f>
        <v>7</v>
      </c>
      <c r="J23" s="97">
        <f>'Results sorted'!L21</f>
        <v>0</v>
      </c>
      <c r="K23" s="120">
        <f t="shared" si="1"/>
        <v>16</v>
      </c>
      <c r="L23" s="131" t="str">
        <f>'Results sorted'!O21</f>
        <v>HM</v>
      </c>
      <c r="M23" s="88"/>
      <c r="N23" s="88"/>
      <c r="O23" s="90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</row>
    <row r="24">
      <c r="A24" s="108" t="str">
        <f>'Results sorted'!A22</f>
        <v/>
      </c>
      <c r="B24" s="94" t="str">
        <f>'Results sorted'!B22</f>
        <v>Viktor </v>
      </c>
      <c r="C24" s="109" t="str">
        <f>'Results sorted'!C22</f>
        <v>Imrišek    </v>
      </c>
      <c r="D24" s="119" t="str">
        <f>left('Results sorted'!D22,3)</f>
        <v>SVK</v>
      </c>
      <c r="E24" s="95">
        <f>'Results sorted'!F22</f>
        <v>7</v>
      </c>
      <c r="F24" s="94">
        <f>'Results sorted'!G22</f>
        <v>1</v>
      </c>
      <c r="G24" s="94">
        <f>'Results sorted'!H22</f>
        <v>0</v>
      </c>
      <c r="H24" s="94">
        <f>'Results sorted'!J22</f>
        <v>7</v>
      </c>
      <c r="I24" s="96">
        <f>'Results sorted'!K22</f>
        <v>1</v>
      </c>
      <c r="J24" s="97">
        <f>'Results sorted'!L22</f>
        <v>0</v>
      </c>
      <c r="K24" s="120">
        <f t="shared" si="1"/>
        <v>16</v>
      </c>
      <c r="L24" s="131" t="str">
        <f>'Results sorted'!O22</f>
        <v>HM</v>
      </c>
      <c r="M24" s="88"/>
      <c r="N24" s="88"/>
      <c r="O24" s="90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</row>
    <row r="25">
      <c r="A25" s="108" t="str">
        <f>'Results sorted'!A23</f>
        <v/>
      </c>
      <c r="B25" s="94" t="str">
        <f>'Results sorted'!B23</f>
        <v>Štěpán </v>
      </c>
      <c r="C25" s="109" t="str">
        <f>'Results sorted'!C23</f>
        <v>Mikéska    </v>
      </c>
      <c r="D25" s="119" t="str">
        <f>left('Results sorted'!D23,3)</f>
        <v>CZE</v>
      </c>
      <c r="E25" s="95">
        <f>'Results sorted'!F23</f>
        <v>6</v>
      </c>
      <c r="F25" s="94">
        <f>'Results sorted'!G23</f>
        <v>7</v>
      </c>
      <c r="G25" s="94">
        <f>'Results sorted'!H23</f>
        <v>0</v>
      </c>
      <c r="H25" s="94">
        <f>'Results sorted'!J23</f>
        <v>3</v>
      </c>
      <c r="I25" s="96">
        <f>'Results sorted'!K23</f>
        <v>0</v>
      </c>
      <c r="J25" s="97">
        <f>'Results sorted'!L23</f>
        <v>0</v>
      </c>
      <c r="K25" s="120">
        <f t="shared" si="1"/>
        <v>16</v>
      </c>
      <c r="L25" s="131" t="str">
        <f>'Results sorted'!O23</f>
        <v>HM</v>
      </c>
      <c r="M25" s="88"/>
      <c r="N25" s="88"/>
      <c r="O25" s="90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</row>
    <row r="26">
      <c r="A26" s="108" t="str">
        <f>'Results sorted'!A24</f>
        <v/>
      </c>
      <c r="B26" s="94" t="str">
        <f>'Results sorted'!B24</f>
        <v>Dominik</v>
      </c>
      <c r="C26" s="109" t="str">
        <f>'Results sorted'!C24</f>
        <v>Pultar</v>
      </c>
      <c r="D26" s="119" t="str">
        <f>left('Results sorted'!D24,3)</f>
        <v>AUT</v>
      </c>
      <c r="E26" s="95">
        <f>'Results sorted'!F24</f>
        <v>0</v>
      </c>
      <c r="F26" s="94">
        <f>'Results sorted'!G24</f>
        <v>3</v>
      </c>
      <c r="G26" s="94">
        <f>'Results sorted'!H24</f>
        <v>0</v>
      </c>
      <c r="H26" s="94">
        <f>'Results sorted'!J24</f>
        <v>7</v>
      </c>
      <c r="I26" s="96">
        <f>'Results sorted'!K24</f>
        <v>1</v>
      </c>
      <c r="J26" s="97">
        <f>'Results sorted'!L24</f>
        <v>5</v>
      </c>
      <c r="K26" s="120">
        <f t="shared" si="1"/>
        <v>16</v>
      </c>
      <c r="L26" s="131" t="str">
        <f>'Results sorted'!O24</f>
        <v>HM</v>
      </c>
      <c r="M26" s="88"/>
      <c r="N26" s="88"/>
      <c r="O26" s="90"/>
      <c r="P26" s="88"/>
      <c r="Q26" s="88"/>
      <c r="R26" s="88"/>
      <c r="S26" s="132"/>
      <c r="T26" s="88"/>
      <c r="U26" s="88"/>
      <c r="V26" s="88"/>
      <c r="W26" s="88"/>
      <c r="X26" s="88"/>
      <c r="Y26" s="88"/>
      <c r="Z26" s="88"/>
      <c r="AA26" s="88"/>
    </row>
    <row r="27">
      <c r="A27" s="108" t="str">
        <f>'Results sorted'!A25</f>
        <v/>
      </c>
      <c r="B27" s="94" t="str">
        <f>'Results sorted'!B25</f>
        <v>Jan</v>
      </c>
      <c r="C27" s="109" t="str">
        <f>'Results sorted'!C25</f>
        <v>Strehn</v>
      </c>
      <c r="D27" s="119" t="str">
        <f>left('Results sorted'!D25,3)</f>
        <v>AUT</v>
      </c>
      <c r="E27" s="95">
        <f>'Results sorted'!F25</f>
        <v>4</v>
      </c>
      <c r="F27" s="94">
        <f>'Results sorted'!G25</f>
        <v>0</v>
      </c>
      <c r="G27" s="94">
        <f>'Results sorted'!H25</f>
        <v>0</v>
      </c>
      <c r="H27" s="94">
        <f>'Results sorted'!J25</f>
        <v>5</v>
      </c>
      <c r="I27" s="96">
        <f>'Results sorted'!K25</f>
        <v>7</v>
      </c>
      <c r="J27" s="97">
        <f>'Results sorted'!L25</f>
        <v>0</v>
      </c>
      <c r="K27" s="120">
        <f t="shared" si="1"/>
        <v>16</v>
      </c>
      <c r="L27" s="131" t="str">
        <f>'Results sorted'!O25</f>
        <v>HM</v>
      </c>
      <c r="M27" s="88"/>
      <c r="N27" s="88"/>
      <c r="O27" s="90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</row>
    <row r="28">
      <c r="A28" s="108">
        <f>'Results sorted'!A26</f>
        <v>23</v>
      </c>
      <c r="B28" s="94" t="str">
        <f>'Results sorted'!B26</f>
        <v>Wojciech</v>
      </c>
      <c r="C28" s="109" t="str">
        <f>'Results sorted'!C26</f>
        <v>Domin</v>
      </c>
      <c r="D28" s="119" t="str">
        <f>left('Results sorted'!D26,3)</f>
        <v>POL</v>
      </c>
      <c r="E28" s="95">
        <f>'Results sorted'!F26</f>
        <v>6</v>
      </c>
      <c r="F28" s="94">
        <f>'Results sorted'!G26</f>
        <v>0</v>
      </c>
      <c r="G28" s="94">
        <f>'Results sorted'!H26</f>
        <v>0</v>
      </c>
      <c r="H28" s="94">
        <f>'Results sorted'!J26</f>
        <v>6</v>
      </c>
      <c r="I28" s="96">
        <f>'Results sorted'!K26</f>
        <v>0</v>
      </c>
      <c r="J28" s="97">
        <f>'Results sorted'!L26</f>
        <v>3</v>
      </c>
      <c r="K28" s="120">
        <f t="shared" si="1"/>
        <v>15</v>
      </c>
      <c r="L28" s="99" t="str">
        <f>'Results sorted'!O26</f>
        <v/>
      </c>
      <c r="M28" s="88"/>
      <c r="N28" s="88"/>
      <c r="O28" s="90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</row>
    <row r="29">
      <c r="A29" s="108" t="str">
        <f>'Results sorted'!A27</f>
        <v/>
      </c>
      <c r="B29" s="94" t="str">
        <f>'Results sorted'!B27</f>
        <v>Wojciech</v>
      </c>
      <c r="C29" s="133" t="str">
        <f>'Results sorted'!C27</f>
        <v>Malinowski</v>
      </c>
      <c r="D29" s="119" t="str">
        <f>left('Results sorted'!D27,3)</f>
        <v>POL</v>
      </c>
      <c r="E29" s="95">
        <f>'Results sorted'!F27</f>
        <v>7</v>
      </c>
      <c r="F29" s="94">
        <f>'Results sorted'!G27</f>
        <v>1</v>
      </c>
      <c r="G29" s="94">
        <f>'Results sorted'!H27</f>
        <v>0</v>
      </c>
      <c r="H29" s="94">
        <f>'Results sorted'!J27</f>
        <v>7</v>
      </c>
      <c r="I29" s="96">
        <f>'Results sorted'!K27</f>
        <v>0</v>
      </c>
      <c r="J29" s="97">
        <f>'Results sorted'!L27</f>
        <v>0</v>
      </c>
      <c r="K29" s="120">
        <f t="shared" si="1"/>
        <v>15</v>
      </c>
      <c r="L29" s="131" t="str">
        <f>'Results sorted'!O27</f>
        <v>HM</v>
      </c>
      <c r="M29" s="88"/>
      <c r="N29" s="88"/>
      <c r="O29" s="90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</row>
    <row r="30">
      <c r="A30" s="108">
        <f>'Results sorted'!A28</f>
        <v>25</v>
      </c>
      <c r="B30" s="134" t="str">
        <f>'Results sorted'!B28</f>
        <v>Georg</v>
      </c>
      <c r="C30" s="135" t="str">
        <f>'Results sorted'!C28</f>
        <v>Weisbier</v>
      </c>
      <c r="D30" s="136" t="str">
        <f>left('Results sorted'!D28,3)</f>
        <v>AUT</v>
      </c>
      <c r="E30" s="137">
        <f>'Results sorted'!F28</f>
        <v>7</v>
      </c>
      <c r="F30" s="134">
        <f>'Results sorted'!G28</f>
        <v>0</v>
      </c>
      <c r="G30" s="134">
        <f>'Results sorted'!H28</f>
        <v>0</v>
      </c>
      <c r="H30" s="134">
        <f>'Results sorted'!J28</f>
        <v>0</v>
      </c>
      <c r="I30" s="99">
        <f>'Results sorted'!K28</f>
        <v>7</v>
      </c>
      <c r="J30" s="138">
        <f>'Results sorted'!L28</f>
        <v>0</v>
      </c>
      <c r="K30" s="120">
        <f t="shared" si="1"/>
        <v>14</v>
      </c>
      <c r="L30" s="131" t="str">
        <f>'Results sorted'!O28</f>
        <v>HM</v>
      </c>
      <c r="M30" s="88"/>
      <c r="N30" s="88"/>
      <c r="O30" s="90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</row>
    <row r="31">
      <c r="A31" s="108">
        <f>'Results sorted'!A29</f>
        <v>26</v>
      </c>
      <c r="B31" s="134" t="str">
        <f>'Results sorted'!B29</f>
        <v>Stanisław</v>
      </c>
      <c r="C31" s="135" t="str">
        <f>'Results sorted'!C29</f>
        <v>Lada</v>
      </c>
      <c r="D31" s="136" t="str">
        <f>left('Results sorted'!D29,3)</f>
        <v>POL</v>
      </c>
      <c r="E31" s="137">
        <f>'Results sorted'!F29</f>
        <v>7</v>
      </c>
      <c r="F31" s="134">
        <f>'Results sorted'!G29</f>
        <v>0</v>
      </c>
      <c r="G31" s="134">
        <f>'Results sorted'!H29</f>
        <v>0</v>
      </c>
      <c r="H31" s="134">
        <f>'Results sorted'!J29</f>
        <v>6</v>
      </c>
      <c r="I31" s="99">
        <f>'Results sorted'!K29</f>
        <v>0</v>
      </c>
      <c r="J31" s="138">
        <f>'Results sorted'!L29</f>
        <v>0</v>
      </c>
      <c r="K31" s="120">
        <f t="shared" si="1"/>
        <v>13</v>
      </c>
      <c r="L31" s="131" t="str">
        <f>'Results sorted'!O29</f>
        <v>HM</v>
      </c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</row>
    <row r="32">
      <c r="A32" s="108">
        <f>'Results sorted'!A30</f>
        <v>27</v>
      </c>
      <c r="B32" s="134" t="str">
        <f>'Results sorted'!B30</f>
        <v>Martin </v>
      </c>
      <c r="C32" s="135" t="str">
        <f>'Results sorted'!C30</f>
        <v>Kopčány</v>
      </c>
      <c r="D32" s="136" t="str">
        <f>left('Results sorted'!D30,3)</f>
        <v>SVK</v>
      </c>
      <c r="E32" s="137">
        <f>'Results sorted'!F30</f>
        <v>7</v>
      </c>
      <c r="F32" s="134">
        <f>'Results sorted'!G30</f>
        <v>0</v>
      </c>
      <c r="G32" s="134">
        <f>'Results sorted'!H30</f>
        <v>0</v>
      </c>
      <c r="H32" s="134">
        <f>'Results sorted'!J30</f>
        <v>3</v>
      </c>
      <c r="I32" s="99">
        <f>'Results sorted'!K30</f>
        <v>0</v>
      </c>
      <c r="J32" s="138">
        <f>'Results sorted'!L30</f>
        <v>2</v>
      </c>
      <c r="K32" s="120">
        <f t="shared" si="1"/>
        <v>12</v>
      </c>
      <c r="L32" s="131" t="str">
        <f>'Results sorted'!O30</f>
        <v>HM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</row>
    <row r="33">
      <c r="A33" s="108">
        <f>'Results sorted'!A31</f>
        <v>28</v>
      </c>
      <c r="B33" s="134" t="str">
        <f>'Results sorted'!B31</f>
        <v>Pavlo</v>
      </c>
      <c r="C33" s="135" t="str">
        <f>'Results sorted'!C31</f>
        <v>Protsenko</v>
      </c>
      <c r="D33" s="136" t="str">
        <f>left('Results sorted'!D31,3)</f>
        <v>UKR</v>
      </c>
      <c r="E33" s="137">
        <f>'Results sorted'!F31</f>
        <v>7</v>
      </c>
      <c r="F33" s="134">
        <f>'Results sorted'!G31</f>
        <v>0</v>
      </c>
      <c r="G33" s="134">
        <f>'Results sorted'!H31</f>
        <v>0</v>
      </c>
      <c r="H33" s="134">
        <f>'Results sorted'!J31</f>
        <v>3</v>
      </c>
      <c r="I33" s="99">
        <f>'Results sorted'!K31</f>
        <v>1</v>
      </c>
      <c r="J33" s="138">
        <f>'Results sorted'!L31</f>
        <v>0</v>
      </c>
      <c r="K33" s="120">
        <f t="shared" si="1"/>
        <v>11</v>
      </c>
      <c r="L33" s="99" t="str">
        <f>'Results sorted'!O31</f>
        <v>HM</v>
      </c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</row>
    <row r="34">
      <c r="A34" s="108">
        <f>'Results sorted'!A32</f>
        <v>29</v>
      </c>
      <c r="B34" s="99" t="str">
        <f>'Results sorted'!B32</f>
        <v>David</v>
      </c>
      <c r="C34" s="138" t="str">
        <f>'Results sorted'!C32</f>
        <v>Buchmaier Bofill</v>
      </c>
      <c r="D34" s="139" t="str">
        <f>left('Results sorted'!D32,3)</f>
        <v>AUT</v>
      </c>
      <c r="E34" s="137">
        <f>'Results sorted'!F32</f>
        <v>1</v>
      </c>
      <c r="F34" s="99">
        <f>'Results sorted'!G32</f>
        <v>1</v>
      </c>
      <c r="G34" s="99">
        <f>'Results sorted'!H32</f>
        <v>0</v>
      </c>
      <c r="H34" s="99">
        <f>'Results sorted'!J32</f>
        <v>7</v>
      </c>
      <c r="I34" s="99">
        <f>'Results sorted'!K32</f>
        <v>0</v>
      </c>
      <c r="J34" s="138">
        <f>'Results sorted'!L32</f>
        <v>0</v>
      </c>
      <c r="K34" s="120">
        <f t="shared" si="1"/>
        <v>9</v>
      </c>
      <c r="L34" s="99" t="str">
        <f>'Results sorted'!O32</f>
        <v>HM</v>
      </c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</row>
    <row r="35">
      <c r="A35" s="108" t="str">
        <f>'Results sorted'!A33</f>
        <v/>
      </c>
      <c r="B35" s="99" t="str">
        <f>'Results sorted'!B33</f>
        <v>Tereza</v>
      </c>
      <c r="C35" s="138" t="str">
        <f>'Results sorted'!C33</f>
        <v>Černá</v>
      </c>
      <c r="D35" s="139" t="str">
        <f>left('Results sorted'!D33,3)</f>
        <v>CZE</v>
      </c>
      <c r="E35" s="137">
        <f>'Results sorted'!F33</f>
        <v>4</v>
      </c>
      <c r="F35" s="99">
        <f>'Results sorted'!G33</f>
        <v>0</v>
      </c>
      <c r="G35" s="99">
        <f>'Results sorted'!H33</f>
        <v>0</v>
      </c>
      <c r="H35" s="99">
        <f>'Results sorted'!J33</f>
        <v>4</v>
      </c>
      <c r="I35" s="99">
        <f>'Results sorted'!K33</f>
        <v>1</v>
      </c>
      <c r="J35" s="138">
        <f>'Results sorted'!L33</f>
        <v>0</v>
      </c>
      <c r="K35" s="120">
        <f t="shared" si="1"/>
        <v>9</v>
      </c>
      <c r="L35" s="99" t="str">
        <f>'Results sorted'!O33</f>
        <v/>
      </c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</row>
    <row r="36">
      <c r="A36" s="140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</row>
    <row r="37">
      <c r="A37" s="140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</row>
    <row r="38">
      <c r="A38" s="88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</row>
    <row r="39">
      <c r="A39" s="88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</row>
    <row r="40">
      <c r="A40" s="88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</row>
    <row r="41">
      <c r="A41" s="8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</row>
    <row r="42">
      <c r="A42" s="88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</row>
    <row r="43">
      <c r="A43" s="88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</row>
    <row r="44">
      <c r="A44" s="88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</row>
    <row r="45">
      <c r="A45" s="88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</row>
    <row r="46">
      <c r="A46" s="88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</row>
    <row r="47">
      <c r="A47" s="88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</row>
    <row r="48">
      <c r="A48" s="88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</row>
    <row r="49">
      <c r="A49" s="88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</row>
    <row r="50">
      <c r="A50" s="88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</row>
    <row r="51">
      <c r="A51" s="88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</row>
    <row r="52">
      <c r="A52" s="8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</row>
    <row r="53">
      <c r="A53" s="88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</row>
    <row r="54">
      <c r="A54" s="88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</row>
    <row r="55">
      <c r="A55" s="88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</row>
    <row r="56">
      <c r="A56" s="88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</row>
  </sheetData>
  <mergeCells count="4">
    <mergeCell ref="A1:L1"/>
    <mergeCell ref="A2:L2"/>
    <mergeCell ref="A3:L3"/>
    <mergeCell ref="B5:C5"/>
  </mergeCells>
  <conditionalFormatting sqref="L6:L35">
    <cfRule type="cellIs" dxfId="0" priority="1" operator="equal">
      <formula>"G"</formula>
    </cfRule>
  </conditionalFormatting>
  <conditionalFormatting sqref="L6:L35">
    <cfRule type="cellIs" dxfId="1" priority="2" operator="equal">
      <formula>"S"</formula>
    </cfRule>
  </conditionalFormatting>
  <conditionalFormatting sqref="L6:L35">
    <cfRule type="cellIs" dxfId="4" priority="3" operator="equal">
      <formula>"B"</formula>
    </cfRule>
  </conditionalFormatting>
  <conditionalFormatting sqref="L6:L35">
    <cfRule type="cellIs" dxfId="5" priority="4" operator="equal">
      <formula>"HM"</formula>
    </cfRule>
  </conditionalFormatting>
  <printOptions horizontalCentered="1"/>
  <pageMargins bottom="0.75" footer="0.0" header="0.0" left="0.7" right="0.7" top="0.75"/>
  <pageSetup paperSize="9" orientation="portrait" pageOrder="overThenDown"/>
  <drawing r:id="rId1"/>
</worksheet>
</file>